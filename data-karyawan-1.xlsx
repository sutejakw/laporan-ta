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ffice 5\Desktop\karyawan\"/>
    </mc:Choice>
  </mc:AlternateContent>
  <bookViews>
    <workbookView xWindow="0" yWindow="0" windowWidth="20400" windowHeight="7905"/>
  </bookViews>
  <sheets>
    <sheet name="Sheet1" sheetId="1" r:id="rId1"/>
  </sheets>
  <definedNames>
    <definedName name="_xlnm._FilterDatabase" localSheetId="0" hidden="1">Sheet1!$A$7:$AC$601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587" i="1" l="1"/>
  <c r="AI587" i="1" s="1"/>
  <c r="AG587" i="1"/>
  <c r="AF587" i="1"/>
  <c r="AH586" i="1"/>
  <c r="AI586" i="1" s="1"/>
  <c r="AG586" i="1"/>
  <c r="AF586" i="1"/>
  <c r="AH585" i="1"/>
  <c r="AI585" i="1" s="1"/>
  <c r="AG585" i="1"/>
  <c r="AF585" i="1"/>
  <c r="AH584" i="1"/>
  <c r="AI584" i="1" s="1"/>
  <c r="AG584" i="1"/>
  <c r="AF584" i="1"/>
  <c r="AH581" i="1"/>
  <c r="AI581" i="1" s="1"/>
  <c r="AG581" i="1"/>
  <c r="AF581" i="1"/>
  <c r="AH579" i="1"/>
  <c r="AI579" i="1" s="1"/>
  <c r="AG579" i="1"/>
  <c r="AF579" i="1"/>
  <c r="AH578" i="1"/>
  <c r="AI578" i="1" s="1"/>
  <c r="AG578" i="1"/>
  <c r="AF578" i="1"/>
  <c r="AH577" i="1"/>
  <c r="AI577" i="1" s="1"/>
  <c r="AG577" i="1"/>
  <c r="AF577" i="1"/>
  <c r="AH576" i="1"/>
  <c r="AI576" i="1" s="1"/>
  <c r="AG576" i="1"/>
  <c r="AF576" i="1"/>
  <c r="AI574" i="1"/>
  <c r="AH574" i="1"/>
  <c r="AG574" i="1"/>
  <c r="AF574" i="1"/>
  <c r="AH573" i="1"/>
  <c r="AI573" i="1" s="1"/>
  <c r="AG573" i="1"/>
  <c r="AF573" i="1"/>
  <c r="AH570" i="1"/>
  <c r="AI570" i="1" s="1"/>
  <c r="AG570" i="1"/>
  <c r="AF570" i="1"/>
  <c r="AH568" i="1"/>
  <c r="AI568" i="1" s="1"/>
  <c r="AG568" i="1"/>
  <c r="AF568" i="1"/>
  <c r="AH567" i="1"/>
  <c r="AI567" i="1" s="1"/>
  <c r="AG567" i="1"/>
  <c r="AF567" i="1"/>
  <c r="AH566" i="1"/>
  <c r="AI566" i="1" s="1"/>
  <c r="AG566" i="1"/>
  <c r="AF566" i="1"/>
  <c r="AH564" i="1"/>
  <c r="AI564" i="1" s="1"/>
  <c r="AG564" i="1"/>
  <c r="AF564" i="1"/>
  <c r="AH562" i="1"/>
  <c r="AI562" i="1" s="1"/>
  <c r="AG562" i="1"/>
  <c r="AF562" i="1"/>
  <c r="AH561" i="1"/>
  <c r="AI561" i="1" s="1"/>
  <c r="AG561" i="1"/>
  <c r="AF561" i="1"/>
  <c r="AH560" i="1"/>
  <c r="AI560" i="1" s="1"/>
  <c r="AG560" i="1"/>
  <c r="AF560" i="1"/>
  <c r="AI556" i="1"/>
  <c r="AH556" i="1"/>
  <c r="AG556" i="1"/>
  <c r="AF556" i="1"/>
  <c r="AH555" i="1"/>
  <c r="AI555" i="1" s="1"/>
  <c r="AG555" i="1"/>
  <c r="AF555" i="1"/>
  <c r="AH554" i="1"/>
  <c r="AI554" i="1" s="1"/>
  <c r="AG554" i="1"/>
  <c r="AF554" i="1"/>
  <c r="AH550" i="1"/>
  <c r="AI550" i="1" s="1"/>
  <c r="AG550" i="1"/>
  <c r="AF550" i="1"/>
  <c r="AH549" i="1"/>
  <c r="AI549" i="1" s="1"/>
  <c r="AG549" i="1"/>
  <c r="AF549" i="1"/>
  <c r="AI548" i="1"/>
  <c r="AH548" i="1"/>
  <c r="AG548" i="1"/>
  <c r="AF548" i="1"/>
  <c r="AA546" i="1"/>
  <c r="AH545" i="1"/>
  <c r="AI545" i="1" s="1"/>
  <c r="AG545" i="1"/>
  <c r="AF545" i="1"/>
  <c r="AH543" i="1"/>
  <c r="AI543" i="1" s="1"/>
  <c r="AG543" i="1"/>
  <c r="AF543" i="1"/>
  <c r="AI542" i="1"/>
  <c r="AH542" i="1"/>
  <c r="AG542" i="1"/>
  <c r="AF542" i="1"/>
  <c r="AH541" i="1"/>
  <c r="AI541" i="1" s="1"/>
  <c r="AG541" i="1"/>
  <c r="AF541" i="1"/>
  <c r="AH540" i="1"/>
  <c r="AI540" i="1" s="1"/>
  <c r="AG540" i="1"/>
  <c r="AF540" i="1"/>
  <c r="AH538" i="1"/>
  <c r="AI538" i="1" s="1"/>
  <c r="AG538" i="1"/>
  <c r="AF538" i="1"/>
  <c r="AH535" i="1"/>
  <c r="AI535" i="1" s="1"/>
  <c r="AG535" i="1"/>
  <c r="AF535" i="1"/>
  <c r="AH534" i="1"/>
  <c r="AI534" i="1" s="1"/>
  <c r="AG534" i="1"/>
  <c r="AF534" i="1"/>
  <c r="AH533" i="1"/>
  <c r="AI533" i="1" s="1"/>
  <c r="AG533" i="1"/>
  <c r="AF533" i="1"/>
  <c r="AH529" i="1"/>
  <c r="AI529" i="1" s="1"/>
  <c r="AG529" i="1"/>
  <c r="AF529" i="1"/>
  <c r="AH526" i="1"/>
  <c r="AI526" i="1" s="1"/>
  <c r="AG526" i="1"/>
  <c r="AF526" i="1"/>
  <c r="AI524" i="1"/>
  <c r="AH524" i="1"/>
  <c r="AG524" i="1"/>
  <c r="AF524" i="1"/>
  <c r="AH520" i="1"/>
  <c r="AI520" i="1" s="1"/>
  <c r="AG520" i="1"/>
  <c r="AF520" i="1"/>
  <c r="AH519" i="1"/>
  <c r="AI519" i="1" s="1"/>
  <c r="AG519" i="1"/>
  <c r="AF519" i="1"/>
  <c r="AH512" i="1"/>
  <c r="AI512" i="1" s="1"/>
  <c r="AG512" i="1"/>
  <c r="AF512" i="1"/>
  <c r="AH511" i="1"/>
  <c r="AI511" i="1" s="1"/>
  <c r="AG511" i="1"/>
  <c r="AF511" i="1"/>
  <c r="AH504" i="1"/>
  <c r="AI504" i="1" s="1"/>
  <c r="AG504" i="1"/>
  <c r="AF504" i="1"/>
  <c r="AI501" i="1"/>
  <c r="AH501" i="1"/>
  <c r="AG501" i="1"/>
  <c r="AF501" i="1"/>
  <c r="AH500" i="1"/>
  <c r="AI500" i="1" s="1"/>
  <c r="AG500" i="1"/>
  <c r="AF500" i="1"/>
  <c r="AH499" i="1"/>
  <c r="AI499" i="1" s="1"/>
  <c r="AG499" i="1"/>
  <c r="AF499" i="1"/>
  <c r="AH498" i="1"/>
  <c r="AI498" i="1" s="1"/>
  <c r="AG498" i="1"/>
  <c r="AF498" i="1"/>
  <c r="AH497" i="1"/>
  <c r="AI497" i="1" s="1"/>
  <c r="AG497" i="1"/>
  <c r="AF497" i="1"/>
  <c r="AH494" i="1"/>
  <c r="AI494" i="1" s="1"/>
  <c r="AG494" i="1"/>
  <c r="AF494" i="1"/>
  <c r="AI492" i="1"/>
  <c r="AH492" i="1"/>
  <c r="AG492" i="1"/>
  <c r="AF492" i="1"/>
  <c r="AH491" i="1"/>
  <c r="AI491" i="1" s="1"/>
  <c r="AG491" i="1"/>
  <c r="AF491" i="1"/>
  <c r="AH489" i="1"/>
  <c r="AI489" i="1" s="1"/>
  <c r="AG489" i="1"/>
  <c r="AF489" i="1"/>
  <c r="AH485" i="1"/>
  <c r="AI485" i="1" s="1"/>
  <c r="AG485" i="1"/>
  <c r="AF485" i="1"/>
  <c r="AH483" i="1"/>
  <c r="AI483" i="1" s="1"/>
  <c r="AG483" i="1"/>
  <c r="AF483" i="1"/>
  <c r="AH481" i="1"/>
  <c r="AI481" i="1" s="1"/>
  <c r="AG481" i="1"/>
  <c r="AF481" i="1"/>
  <c r="AH480" i="1"/>
  <c r="AI480" i="1" s="1"/>
  <c r="AG480" i="1"/>
  <c r="AF480" i="1"/>
  <c r="AH479" i="1"/>
  <c r="AI479" i="1" s="1"/>
  <c r="AG479" i="1"/>
  <c r="AF479" i="1"/>
  <c r="AI477" i="1"/>
  <c r="AH477" i="1"/>
  <c r="AG477" i="1"/>
  <c r="AF477" i="1"/>
  <c r="AH476" i="1"/>
  <c r="AI476" i="1" s="1"/>
  <c r="AG476" i="1"/>
  <c r="AF476" i="1"/>
  <c r="AH472" i="1"/>
  <c r="AI472" i="1" s="1"/>
  <c r="AG472" i="1"/>
  <c r="AF472" i="1"/>
  <c r="AH470" i="1"/>
  <c r="AI470" i="1" s="1"/>
  <c r="AG470" i="1"/>
  <c r="AF470" i="1"/>
  <c r="AH469" i="1"/>
  <c r="AI469" i="1" s="1"/>
  <c r="AG469" i="1"/>
  <c r="AF469" i="1"/>
  <c r="AH467" i="1"/>
  <c r="AI467" i="1" s="1"/>
  <c r="AG467" i="1"/>
  <c r="AF467" i="1"/>
  <c r="AH466" i="1"/>
  <c r="AI466" i="1" s="1"/>
  <c r="AG466" i="1"/>
  <c r="AF466" i="1"/>
  <c r="AH465" i="1"/>
  <c r="AI465" i="1" s="1"/>
  <c r="AG465" i="1"/>
  <c r="AF465" i="1"/>
  <c r="AH463" i="1"/>
  <c r="AI463" i="1" s="1"/>
  <c r="AG463" i="1"/>
  <c r="AF463" i="1"/>
  <c r="AH462" i="1"/>
  <c r="AI462" i="1" s="1"/>
  <c r="AG462" i="1"/>
  <c r="AF462" i="1"/>
  <c r="AH458" i="1"/>
  <c r="AI458" i="1" s="1"/>
  <c r="AG458" i="1"/>
  <c r="AF458" i="1"/>
  <c r="AH457" i="1"/>
  <c r="AI457" i="1" s="1"/>
  <c r="AG457" i="1"/>
  <c r="AF457" i="1"/>
  <c r="AH453" i="1"/>
  <c r="AI453" i="1" s="1"/>
  <c r="AG453" i="1"/>
  <c r="AF453" i="1"/>
  <c r="AH452" i="1"/>
  <c r="AI452" i="1" s="1"/>
  <c r="AG452" i="1"/>
  <c r="AF452" i="1"/>
  <c r="AH446" i="1"/>
  <c r="AI446" i="1" s="1"/>
  <c r="AG446" i="1"/>
  <c r="AF446" i="1"/>
  <c r="AH445" i="1"/>
  <c r="AI445" i="1" s="1"/>
  <c r="AG445" i="1"/>
  <c r="AF445" i="1"/>
  <c r="AH444" i="1"/>
  <c r="AI444" i="1" s="1"/>
  <c r="AG444" i="1"/>
  <c r="AF444" i="1"/>
  <c r="AH440" i="1"/>
  <c r="AI440" i="1" s="1"/>
  <c r="AG440" i="1"/>
  <c r="AF440" i="1"/>
  <c r="AH439" i="1"/>
  <c r="AI439" i="1" s="1"/>
  <c r="AG439" i="1"/>
  <c r="AF439" i="1"/>
  <c r="AH435" i="1"/>
  <c r="AI435" i="1" s="1"/>
  <c r="AG435" i="1"/>
  <c r="AF435" i="1"/>
  <c r="AH434" i="1"/>
  <c r="AI434" i="1" s="1"/>
  <c r="AG434" i="1"/>
  <c r="AF434" i="1"/>
  <c r="AH432" i="1"/>
  <c r="AI432" i="1" s="1"/>
  <c r="AG432" i="1"/>
  <c r="AF432" i="1"/>
  <c r="AH431" i="1"/>
  <c r="AI431" i="1" s="1"/>
  <c r="AG431" i="1"/>
  <c r="AF431" i="1"/>
  <c r="AH429" i="1"/>
  <c r="AI429" i="1" s="1"/>
  <c r="AG429" i="1"/>
  <c r="AF429" i="1"/>
  <c r="AH428" i="1"/>
  <c r="AI428" i="1" s="1"/>
  <c r="AG428" i="1"/>
  <c r="AF428" i="1"/>
  <c r="AH426" i="1"/>
  <c r="AI426" i="1" s="1"/>
  <c r="AG426" i="1"/>
  <c r="AF426" i="1"/>
  <c r="AH425" i="1"/>
  <c r="AI425" i="1" s="1"/>
  <c r="AG425" i="1"/>
  <c r="AF425" i="1"/>
  <c r="AH424" i="1"/>
  <c r="AI424" i="1" s="1"/>
  <c r="AG424" i="1"/>
  <c r="AF424" i="1"/>
  <c r="AH423" i="1"/>
  <c r="AI423" i="1" s="1"/>
  <c r="AG423" i="1"/>
  <c r="AF423" i="1"/>
  <c r="AH417" i="1"/>
  <c r="AI417" i="1" s="1"/>
  <c r="AG417" i="1"/>
  <c r="AF417" i="1"/>
  <c r="AH415" i="1"/>
  <c r="AI415" i="1" s="1"/>
  <c r="AG415" i="1"/>
  <c r="AF415" i="1"/>
  <c r="AH414" i="1"/>
  <c r="AI414" i="1" s="1"/>
  <c r="AG414" i="1"/>
  <c r="AF414" i="1"/>
  <c r="AH412" i="1"/>
  <c r="AI412" i="1" s="1"/>
  <c r="AG412" i="1"/>
  <c r="AF412" i="1"/>
  <c r="AH411" i="1"/>
  <c r="AI411" i="1" s="1"/>
  <c r="AG411" i="1"/>
  <c r="AF411" i="1"/>
  <c r="AH409" i="1"/>
  <c r="AI409" i="1" s="1"/>
  <c r="AG409" i="1"/>
  <c r="AF409" i="1"/>
  <c r="AH408" i="1"/>
  <c r="AI408" i="1" s="1"/>
  <c r="AG408" i="1"/>
  <c r="AF408" i="1"/>
  <c r="AH406" i="1"/>
  <c r="AI406" i="1" s="1"/>
  <c r="AG406" i="1"/>
  <c r="AF406" i="1"/>
  <c r="AH402" i="1"/>
  <c r="AI402" i="1" s="1"/>
  <c r="AG402" i="1"/>
  <c r="AF402" i="1"/>
  <c r="AH398" i="1"/>
  <c r="AI398" i="1" s="1"/>
  <c r="AG398" i="1"/>
  <c r="AF398" i="1"/>
  <c r="AH397" i="1"/>
  <c r="AI397" i="1" s="1"/>
  <c r="AG397" i="1"/>
  <c r="AF397" i="1"/>
  <c r="AH396" i="1"/>
  <c r="AI396" i="1" s="1"/>
  <c r="AG396" i="1"/>
  <c r="AF396" i="1"/>
  <c r="AH395" i="1"/>
  <c r="AI395" i="1" s="1"/>
  <c r="AG395" i="1"/>
  <c r="AF395" i="1"/>
  <c r="AH394" i="1"/>
  <c r="AI394" i="1" s="1"/>
  <c r="AG394" i="1"/>
  <c r="AF394" i="1"/>
  <c r="AH391" i="1"/>
  <c r="AI391" i="1" s="1"/>
  <c r="AG391" i="1"/>
  <c r="AF391" i="1"/>
  <c r="AH386" i="1"/>
  <c r="AI386" i="1" s="1"/>
  <c r="AG386" i="1"/>
  <c r="AF386" i="1"/>
  <c r="AI385" i="1"/>
  <c r="AH385" i="1"/>
  <c r="AG385" i="1"/>
  <c r="AF385" i="1"/>
  <c r="AH384" i="1"/>
  <c r="AI384" i="1" s="1"/>
  <c r="AG384" i="1"/>
  <c r="AF384" i="1"/>
  <c r="AH383" i="1"/>
  <c r="AI383" i="1" s="1"/>
  <c r="AG383" i="1"/>
  <c r="AF383" i="1"/>
  <c r="AH379" i="1"/>
  <c r="AI379" i="1" s="1"/>
  <c r="AG379" i="1"/>
  <c r="AF379" i="1"/>
  <c r="AH378" i="1"/>
  <c r="AI378" i="1" s="1"/>
  <c r="AG378" i="1"/>
  <c r="AF378" i="1"/>
  <c r="AH375" i="1"/>
  <c r="AI375" i="1" s="1"/>
  <c r="AG375" i="1"/>
  <c r="AF375" i="1"/>
  <c r="AH374" i="1"/>
  <c r="AI374" i="1" s="1"/>
  <c r="AG374" i="1"/>
  <c r="AF374" i="1"/>
  <c r="AH371" i="1"/>
  <c r="AI371" i="1" s="1"/>
  <c r="AG371" i="1"/>
  <c r="AF371" i="1"/>
  <c r="AH370" i="1"/>
  <c r="AI370" i="1" s="1"/>
  <c r="AG370" i="1"/>
  <c r="AF370" i="1"/>
  <c r="AI367" i="1"/>
  <c r="AH367" i="1"/>
  <c r="AG367" i="1"/>
  <c r="AF367" i="1"/>
  <c r="AH366" i="1"/>
  <c r="AI366" i="1" s="1"/>
  <c r="AG366" i="1"/>
  <c r="AF366" i="1"/>
  <c r="AH364" i="1"/>
  <c r="AI364" i="1" s="1"/>
  <c r="AG364" i="1"/>
  <c r="AF364" i="1"/>
  <c r="AH363" i="1"/>
  <c r="AI363" i="1" s="1"/>
  <c r="AG363" i="1"/>
  <c r="AF363" i="1"/>
  <c r="AH361" i="1"/>
  <c r="AI361" i="1" s="1"/>
  <c r="AG361" i="1"/>
  <c r="AF361" i="1"/>
  <c r="AH360" i="1"/>
  <c r="AI360" i="1" s="1"/>
  <c r="AG360" i="1"/>
  <c r="AF360" i="1"/>
  <c r="AH357" i="1"/>
  <c r="AI357" i="1" s="1"/>
  <c r="AG357" i="1"/>
  <c r="AF357" i="1"/>
  <c r="AH354" i="1"/>
  <c r="AI354" i="1" s="1"/>
  <c r="AG354" i="1"/>
  <c r="AF354" i="1"/>
  <c r="AH352" i="1"/>
  <c r="AI352" i="1" s="1"/>
  <c r="AG352" i="1"/>
  <c r="AF352" i="1"/>
  <c r="AH347" i="1"/>
  <c r="AI347" i="1" s="1"/>
  <c r="AG347" i="1"/>
  <c r="AF347" i="1"/>
  <c r="AH345" i="1"/>
  <c r="AI345" i="1" s="1"/>
  <c r="AG345" i="1"/>
  <c r="AF345" i="1"/>
  <c r="AH343" i="1"/>
  <c r="AI343" i="1" s="1"/>
  <c r="AG343" i="1"/>
  <c r="AF343" i="1"/>
  <c r="AH342" i="1"/>
  <c r="AI342" i="1" s="1"/>
  <c r="AG342" i="1"/>
  <c r="AF342" i="1"/>
  <c r="AH341" i="1"/>
  <c r="AI341" i="1" s="1"/>
  <c r="AG341" i="1"/>
  <c r="AF341" i="1"/>
  <c r="AH339" i="1"/>
  <c r="AI339" i="1" s="1"/>
  <c r="AG339" i="1"/>
  <c r="AF339" i="1"/>
  <c r="AH338" i="1"/>
  <c r="AI338" i="1" s="1"/>
  <c r="AG338" i="1"/>
  <c r="AF338" i="1"/>
  <c r="AH332" i="1"/>
  <c r="AI332" i="1" s="1"/>
  <c r="AG332" i="1"/>
  <c r="AF332" i="1"/>
  <c r="AH328" i="1"/>
  <c r="AI328" i="1" s="1"/>
  <c r="AG328" i="1"/>
  <c r="AF328" i="1"/>
  <c r="AH327" i="1"/>
  <c r="AI327" i="1" s="1"/>
  <c r="AG327" i="1"/>
  <c r="AF327" i="1"/>
  <c r="AH325" i="1"/>
  <c r="AI325" i="1" s="1"/>
  <c r="AG325" i="1"/>
  <c r="AF325" i="1"/>
  <c r="AH324" i="1"/>
  <c r="AI324" i="1" s="1"/>
  <c r="AG324" i="1"/>
  <c r="AF324" i="1"/>
  <c r="AH323" i="1"/>
  <c r="AI323" i="1" s="1"/>
  <c r="AG323" i="1"/>
  <c r="AF323" i="1"/>
  <c r="AH321" i="1"/>
  <c r="AI321" i="1" s="1"/>
  <c r="AG321" i="1"/>
  <c r="AF321" i="1"/>
  <c r="AH315" i="1"/>
  <c r="AI315" i="1" s="1"/>
  <c r="AG315" i="1"/>
  <c r="AF315" i="1"/>
  <c r="AH314" i="1"/>
  <c r="AI314" i="1" s="1"/>
  <c r="AG314" i="1"/>
  <c r="AF314" i="1"/>
  <c r="AH313" i="1"/>
  <c r="AI313" i="1" s="1"/>
  <c r="AG313" i="1"/>
  <c r="AF313" i="1"/>
  <c r="AH312" i="1"/>
  <c r="AI312" i="1" s="1"/>
  <c r="AG312" i="1"/>
  <c r="AF312" i="1"/>
  <c r="AI310" i="1"/>
  <c r="AH310" i="1"/>
  <c r="AG310" i="1"/>
  <c r="AF310" i="1"/>
  <c r="AH309" i="1"/>
  <c r="AI309" i="1" s="1"/>
  <c r="AG309" i="1"/>
  <c r="AF309" i="1"/>
  <c r="AH305" i="1"/>
  <c r="AI305" i="1" s="1"/>
  <c r="AG305" i="1"/>
  <c r="AF305" i="1"/>
  <c r="AH298" i="1"/>
  <c r="AI298" i="1" s="1"/>
  <c r="AG298" i="1"/>
  <c r="AF298" i="1"/>
  <c r="AH297" i="1"/>
  <c r="AI297" i="1" s="1"/>
  <c r="AG297" i="1"/>
  <c r="AF297" i="1"/>
  <c r="AH293" i="1"/>
  <c r="AI293" i="1" s="1"/>
  <c r="AG293" i="1"/>
  <c r="AF293" i="1"/>
  <c r="AH292" i="1"/>
  <c r="AI292" i="1" s="1"/>
  <c r="AG292" i="1"/>
  <c r="AF292" i="1"/>
  <c r="AH289" i="1"/>
  <c r="AI289" i="1" s="1"/>
  <c r="AG289" i="1"/>
  <c r="AF289" i="1"/>
  <c r="AH285" i="1"/>
  <c r="AI285" i="1" s="1"/>
  <c r="AG285" i="1"/>
  <c r="AF285" i="1"/>
  <c r="AH279" i="1"/>
  <c r="AI279" i="1" s="1"/>
  <c r="AG279" i="1"/>
  <c r="AF279" i="1"/>
  <c r="AH276" i="1"/>
  <c r="AI276" i="1" s="1"/>
  <c r="AG276" i="1"/>
  <c r="AF276" i="1"/>
  <c r="AH272" i="1"/>
  <c r="AI272" i="1" s="1"/>
  <c r="AG272" i="1"/>
  <c r="AF272" i="1"/>
  <c r="AH269" i="1"/>
  <c r="AI269" i="1" s="1"/>
  <c r="AG269" i="1"/>
  <c r="AF269" i="1"/>
  <c r="AH268" i="1"/>
  <c r="AI268" i="1" s="1"/>
  <c r="AG268" i="1"/>
  <c r="AF268" i="1"/>
  <c r="AH267" i="1"/>
  <c r="AI267" i="1" s="1"/>
  <c r="AG267" i="1"/>
  <c r="AF267" i="1"/>
  <c r="AH265" i="1"/>
  <c r="AI265" i="1" s="1"/>
  <c r="AG265" i="1"/>
  <c r="AF265" i="1"/>
  <c r="AH261" i="1"/>
  <c r="AI261" i="1" s="1"/>
  <c r="AG261" i="1"/>
  <c r="AF261" i="1"/>
  <c r="AH260" i="1"/>
  <c r="AI260" i="1" s="1"/>
  <c r="AG260" i="1"/>
  <c r="AF260" i="1"/>
  <c r="AI259" i="1"/>
  <c r="AH259" i="1"/>
  <c r="AG259" i="1"/>
  <c r="AF259" i="1"/>
  <c r="AH258" i="1"/>
  <c r="AI258" i="1" s="1"/>
  <c r="AG258" i="1"/>
  <c r="AF258" i="1"/>
  <c r="AH257" i="1"/>
  <c r="AI257" i="1" s="1"/>
  <c r="AG257" i="1"/>
  <c r="AF257" i="1"/>
  <c r="AH256" i="1"/>
  <c r="AI256" i="1" s="1"/>
  <c r="AG256" i="1"/>
  <c r="AF256" i="1"/>
  <c r="AH255" i="1"/>
  <c r="AI255" i="1" s="1"/>
  <c r="AG255" i="1"/>
  <c r="AF255" i="1"/>
  <c r="AH252" i="1"/>
  <c r="AI252" i="1" s="1"/>
  <c r="AG252" i="1"/>
  <c r="AF252" i="1"/>
  <c r="AH251" i="1"/>
  <c r="AI251" i="1" s="1"/>
  <c r="AG251" i="1"/>
  <c r="AF251" i="1"/>
  <c r="AH250" i="1"/>
  <c r="AI250" i="1" s="1"/>
  <c r="AG250" i="1"/>
  <c r="AF250" i="1"/>
  <c r="AH248" i="1"/>
  <c r="AI248" i="1" s="1"/>
  <c r="AG248" i="1"/>
  <c r="AF248" i="1"/>
  <c r="AH247" i="1"/>
  <c r="AI247" i="1" s="1"/>
  <c r="AG247" i="1"/>
  <c r="AF247" i="1"/>
  <c r="AH246" i="1"/>
  <c r="AI246" i="1" s="1"/>
  <c r="AG246" i="1"/>
  <c r="AF246" i="1"/>
  <c r="AH245" i="1"/>
  <c r="AI245" i="1" s="1"/>
  <c r="AG245" i="1"/>
  <c r="AF245" i="1"/>
  <c r="AH241" i="1"/>
  <c r="AI241" i="1" s="1"/>
  <c r="AG241" i="1"/>
  <c r="AF241" i="1"/>
  <c r="AH240" i="1"/>
  <c r="AI240" i="1" s="1"/>
  <c r="AG240" i="1"/>
  <c r="AF240" i="1"/>
  <c r="AH239" i="1"/>
  <c r="AI239" i="1" s="1"/>
  <c r="AG239" i="1"/>
  <c r="AF239" i="1"/>
  <c r="AH238" i="1"/>
  <c r="AI238" i="1" s="1"/>
  <c r="AG238" i="1"/>
  <c r="AF238" i="1"/>
  <c r="AH231" i="1"/>
  <c r="AI231" i="1" s="1"/>
  <c r="AG231" i="1"/>
  <c r="AF231" i="1"/>
  <c r="AH228" i="1"/>
  <c r="AI228" i="1" s="1"/>
  <c r="AG228" i="1"/>
  <c r="AF228" i="1"/>
  <c r="AH227" i="1"/>
  <c r="AI227" i="1" s="1"/>
  <c r="AG227" i="1"/>
  <c r="AF227" i="1"/>
  <c r="AH223" i="1"/>
  <c r="AI223" i="1" s="1"/>
  <c r="AG223" i="1"/>
  <c r="AF223" i="1"/>
  <c r="AH222" i="1"/>
  <c r="AI222" i="1" s="1"/>
  <c r="AG222" i="1"/>
  <c r="AF222" i="1"/>
  <c r="AH221" i="1"/>
  <c r="AI221" i="1" s="1"/>
  <c r="AG221" i="1"/>
  <c r="AF221" i="1"/>
  <c r="AH220" i="1"/>
  <c r="AI220" i="1" s="1"/>
  <c r="AG220" i="1"/>
  <c r="AF220" i="1"/>
  <c r="AH218" i="1"/>
  <c r="AI218" i="1" s="1"/>
  <c r="AG218" i="1"/>
  <c r="AF218" i="1"/>
  <c r="AH217" i="1"/>
  <c r="AI217" i="1" s="1"/>
  <c r="AG217" i="1"/>
  <c r="AF217" i="1"/>
  <c r="AH216" i="1"/>
  <c r="AI216" i="1" s="1"/>
  <c r="AG216" i="1"/>
  <c r="AF216" i="1"/>
  <c r="AH212" i="1"/>
  <c r="AI212" i="1" s="1"/>
  <c r="AG212" i="1"/>
  <c r="AF212" i="1"/>
  <c r="AI211" i="1"/>
  <c r="AH211" i="1"/>
  <c r="AG211" i="1"/>
  <c r="AF211" i="1"/>
  <c r="AH210" i="1"/>
  <c r="AI210" i="1" s="1"/>
  <c r="AG210" i="1"/>
  <c r="AF210" i="1"/>
  <c r="AH208" i="1"/>
  <c r="AI208" i="1" s="1"/>
  <c r="AG208" i="1"/>
  <c r="AF208" i="1"/>
  <c r="AH205" i="1"/>
  <c r="AI205" i="1" s="1"/>
  <c r="AG205" i="1"/>
  <c r="AF205" i="1"/>
  <c r="AH202" i="1"/>
  <c r="AI202" i="1" s="1"/>
  <c r="AG202" i="1"/>
  <c r="AF202" i="1"/>
  <c r="AH198" i="1"/>
  <c r="AI198" i="1" s="1"/>
  <c r="AG198" i="1"/>
  <c r="AF198" i="1"/>
  <c r="AH196" i="1"/>
  <c r="AI196" i="1" s="1"/>
  <c r="AG196" i="1"/>
  <c r="AF196" i="1"/>
  <c r="AH195" i="1"/>
  <c r="AI195" i="1" s="1"/>
  <c r="AG195" i="1"/>
  <c r="AF195" i="1"/>
  <c r="AH194" i="1"/>
  <c r="AI194" i="1" s="1"/>
  <c r="AG194" i="1"/>
  <c r="AF194" i="1"/>
  <c r="AH192" i="1"/>
  <c r="AI192" i="1" s="1"/>
  <c r="AG192" i="1"/>
  <c r="AF192" i="1"/>
  <c r="AH190" i="1"/>
  <c r="AI190" i="1" s="1"/>
  <c r="AG190" i="1"/>
  <c r="AF190" i="1"/>
  <c r="AH186" i="1"/>
  <c r="AI186" i="1" s="1"/>
  <c r="AG186" i="1"/>
  <c r="AF186" i="1"/>
  <c r="AH185" i="1"/>
  <c r="AI185" i="1" s="1"/>
  <c r="AG185" i="1"/>
  <c r="AF185" i="1"/>
  <c r="AH178" i="1"/>
  <c r="AI178" i="1" s="1"/>
  <c r="AG178" i="1"/>
  <c r="AF178" i="1"/>
  <c r="AH177" i="1"/>
  <c r="AI177" i="1" s="1"/>
  <c r="AG177" i="1"/>
  <c r="AF177" i="1"/>
  <c r="AH173" i="1"/>
  <c r="AI173" i="1" s="1"/>
  <c r="AG173" i="1"/>
  <c r="AF173" i="1"/>
  <c r="AH172" i="1"/>
  <c r="AI172" i="1" s="1"/>
  <c r="AG172" i="1"/>
  <c r="AF172" i="1"/>
  <c r="AH171" i="1"/>
  <c r="AI171" i="1" s="1"/>
  <c r="AG171" i="1"/>
  <c r="AF171" i="1"/>
  <c r="AH170" i="1"/>
  <c r="AI170" i="1" s="1"/>
  <c r="AG170" i="1"/>
  <c r="AF170" i="1"/>
  <c r="AH169" i="1"/>
  <c r="AI169" i="1" s="1"/>
  <c r="AG169" i="1"/>
  <c r="AF169" i="1"/>
  <c r="AH166" i="1"/>
  <c r="AI166" i="1" s="1"/>
  <c r="AG166" i="1"/>
  <c r="AF166" i="1"/>
  <c r="AH162" i="1"/>
  <c r="AI162" i="1" s="1"/>
  <c r="AG162" i="1"/>
  <c r="AF162" i="1"/>
  <c r="AH160" i="1"/>
  <c r="AI160" i="1" s="1"/>
  <c r="AG160" i="1"/>
  <c r="AF160" i="1"/>
  <c r="AH159" i="1"/>
  <c r="AI159" i="1" s="1"/>
  <c r="AG159" i="1"/>
  <c r="AF159" i="1"/>
  <c r="AH158" i="1"/>
  <c r="AI158" i="1" s="1"/>
  <c r="AG158" i="1"/>
  <c r="AF158" i="1"/>
  <c r="AH154" i="1"/>
  <c r="AI154" i="1" s="1"/>
  <c r="AG154" i="1"/>
  <c r="AF154" i="1"/>
  <c r="AH153" i="1"/>
  <c r="AI153" i="1" s="1"/>
  <c r="AG153" i="1"/>
  <c r="AF153" i="1"/>
  <c r="AH151" i="1"/>
  <c r="AI151" i="1" s="1"/>
  <c r="AG151" i="1"/>
  <c r="AF151" i="1"/>
  <c r="AH148" i="1"/>
  <c r="AI148" i="1" s="1"/>
  <c r="AG148" i="1"/>
  <c r="AF148" i="1"/>
  <c r="AH147" i="1"/>
  <c r="AI147" i="1" s="1"/>
  <c r="AG147" i="1"/>
  <c r="AF147" i="1"/>
  <c r="AH146" i="1"/>
  <c r="AI146" i="1" s="1"/>
  <c r="AG146" i="1"/>
  <c r="AF146" i="1"/>
  <c r="AH144" i="1"/>
  <c r="AI144" i="1" s="1"/>
  <c r="AG144" i="1"/>
  <c r="AF144" i="1"/>
  <c r="AH142" i="1"/>
  <c r="AI142" i="1" s="1"/>
  <c r="AG142" i="1"/>
  <c r="AF142" i="1"/>
  <c r="AH140" i="1"/>
  <c r="AI140" i="1" s="1"/>
  <c r="AG140" i="1"/>
  <c r="AF140" i="1"/>
  <c r="AH139" i="1"/>
  <c r="AI139" i="1" s="1"/>
  <c r="AG139" i="1"/>
  <c r="AF139" i="1"/>
  <c r="AH138" i="1"/>
  <c r="AI138" i="1" s="1"/>
  <c r="AG138" i="1"/>
  <c r="AF138" i="1"/>
  <c r="AI135" i="1"/>
  <c r="AH135" i="1"/>
  <c r="AG135" i="1"/>
  <c r="AF135" i="1"/>
  <c r="AH133" i="1"/>
  <c r="AI133" i="1" s="1"/>
  <c r="AG133" i="1"/>
  <c r="AF133" i="1"/>
  <c r="AH129" i="1"/>
  <c r="AI129" i="1" s="1"/>
  <c r="AG129" i="1"/>
  <c r="AF129" i="1"/>
  <c r="AH127" i="1"/>
  <c r="AI127" i="1" s="1"/>
  <c r="AG127" i="1"/>
  <c r="AF127" i="1"/>
  <c r="AH126" i="1"/>
  <c r="AI126" i="1" s="1"/>
  <c r="AG126" i="1"/>
  <c r="AF126" i="1"/>
  <c r="AH124" i="1"/>
  <c r="AI124" i="1" s="1"/>
  <c r="AG124" i="1"/>
  <c r="AF124" i="1"/>
  <c r="AH123" i="1"/>
  <c r="AI123" i="1" s="1"/>
  <c r="AG123" i="1"/>
  <c r="AF123" i="1"/>
  <c r="AH120" i="1"/>
  <c r="AI120" i="1" s="1"/>
  <c r="AG120" i="1"/>
  <c r="AF120" i="1"/>
  <c r="AH119" i="1"/>
  <c r="AI119" i="1" s="1"/>
  <c r="AG119" i="1"/>
  <c r="AF119" i="1"/>
  <c r="AH118" i="1"/>
  <c r="AI118" i="1" s="1"/>
  <c r="AG118" i="1"/>
  <c r="AF118" i="1"/>
  <c r="AH115" i="1"/>
  <c r="AI115" i="1" s="1"/>
  <c r="AG115" i="1"/>
  <c r="AF115" i="1"/>
  <c r="AH114" i="1"/>
  <c r="AI114" i="1" s="1"/>
  <c r="AG114" i="1"/>
  <c r="AF114" i="1"/>
  <c r="AH112" i="1"/>
  <c r="AI112" i="1" s="1"/>
  <c r="AG112" i="1"/>
  <c r="AF112" i="1"/>
  <c r="AH110" i="1"/>
  <c r="AI110" i="1" s="1"/>
  <c r="AG110" i="1"/>
  <c r="AF110" i="1"/>
  <c r="AH109" i="1"/>
  <c r="AI109" i="1" s="1"/>
  <c r="AG109" i="1"/>
  <c r="AF109" i="1"/>
  <c r="AH104" i="1"/>
  <c r="AI104" i="1" s="1"/>
  <c r="AG104" i="1"/>
  <c r="AF104" i="1"/>
  <c r="AH100" i="1"/>
  <c r="AI100" i="1" s="1"/>
  <c r="AG100" i="1"/>
  <c r="AF100" i="1"/>
  <c r="AH99" i="1"/>
  <c r="AI99" i="1" s="1"/>
  <c r="AG99" i="1"/>
  <c r="AF99" i="1"/>
  <c r="AH95" i="1"/>
  <c r="AI95" i="1" s="1"/>
  <c r="AG95" i="1"/>
  <c r="AF95" i="1"/>
  <c r="AH94" i="1"/>
  <c r="AI94" i="1" s="1"/>
  <c r="AG94" i="1"/>
  <c r="AF94" i="1"/>
  <c r="AH93" i="1"/>
  <c r="AI93" i="1" s="1"/>
  <c r="AG93" i="1"/>
  <c r="AF93" i="1"/>
  <c r="AH92" i="1"/>
  <c r="AI92" i="1" s="1"/>
  <c r="AG92" i="1"/>
  <c r="AF92" i="1"/>
  <c r="AH91" i="1"/>
  <c r="AI91" i="1" s="1"/>
  <c r="AG91" i="1"/>
  <c r="AF91" i="1"/>
  <c r="AH90" i="1"/>
  <c r="AI90" i="1" s="1"/>
  <c r="AG90" i="1"/>
  <c r="AF90" i="1"/>
  <c r="AH89" i="1"/>
  <c r="AI89" i="1" s="1"/>
  <c r="AG89" i="1"/>
  <c r="AF89" i="1"/>
  <c r="AH85" i="1"/>
  <c r="AI85" i="1" s="1"/>
  <c r="AG85" i="1"/>
  <c r="AF85" i="1"/>
  <c r="AH84" i="1"/>
  <c r="AI84" i="1" s="1"/>
  <c r="AG84" i="1"/>
  <c r="AF84" i="1"/>
  <c r="AH83" i="1"/>
  <c r="AI83" i="1" s="1"/>
  <c r="AG83" i="1"/>
  <c r="AF83" i="1"/>
  <c r="AH82" i="1"/>
  <c r="AI82" i="1" s="1"/>
  <c r="AG82" i="1"/>
  <c r="AF82" i="1"/>
  <c r="AH75" i="1"/>
  <c r="AI75" i="1" s="1"/>
  <c r="AG75" i="1"/>
  <c r="AF75" i="1"/>
  <c r="AH74" i="1"/>
  <c r="AI74" i="1" s="1"/>
  <c r="AG74" i="1"/>
  <c r="AF74" i="1"/>
  <c r="AH73" i="1"/>
  <c r="AI73" i="1" s="1"/>
  <c r="AG73" i="1"/>
  <c r="AF73" i="1"/>
  <c r="AH72" i="1"/>
  <c r="AI72" i="1" s="1"/>
  <c r="AG72" i="1"/>
  <c r="AF72" i="1"/>
  <c r="AH71" i="1"/>
  <c r="AI71" i="1" s="1"/>
  <c r="AG71" i="1"/>
  <c r="AF71" i="1"/>
  <c r="AH70" i="1"/>
  <c r="AI70" i="1" s="1"/>
  <c r="AG70" i="1"/>
  <c r="AF70" i="1"/>
  <c r="AH69" i="1"/>
  <c r="AI69" i="1" s="1"/>
  <c r="AG69" i="1"/>
  <c r="AF69" i="1"/>
  <c r="AH67" i="1"/>
  <c r="AI67" i="1" s="1"/>
  <c r="AG67" i="1"/>
  <c r="AF67" i="1"/>
  <c r="AH66" i="1"/>
  <c r="AI66" i="1" s="1"/>
  <c r="AG66" i="1"/>
  <c r="AF66" i="1"/>
  <c r="AH63" i="1"/>
  <c r="AI63" i="1" s="1"/>
  <c r="AG63" i="1"/>
  <c r="AF63" i="1"/>
  <c r="AH62" i="1"/>
  <c r="AI62" i="1" s="1"/>
  <c r="AG62" i="1"/>
  <c r="AF62" i="1"/>
  <c r="AH59" i="1"/>
  <c r="AI59" i="1" s="1"/>
  <c r="AG59" i="1"/>
  <c r="AF59" i="1"/>
  <c r="AH56" i="1"/>
  <c r="AI56" i="1" s="1"/>
  <c r="AG56" i="1"/>
  <c r="AF56" i="1"/>
  <c r="AH54" i="1"/>
  <c r="AI54" i="1" s="1"/>
  <c r="AG54" i="1"/>
  <c r="AF54" i="1"/>
  <c r="AH50" i="1"/>
  <c r="AI50" i="1" s="1"/>
  <c r="AG50" i="1"/>
  <c r="AF50" i="1"/>
  <c r="AH49" i="1"/>
  <c r="AI49" i="1" s="1"/>
  <c r="AG49" i="1"/>
  <c r="AF49" i="1"/>
  <c r="AH48" i="1"/>
  <c r="AI48" i="1" s="1"/>
  <c r="AG48" i="1"/>
  <c r="AF48" i="1"/>
  <c r="AH47" i="1"/>
  <c r="AI47" i="1" s="1"/>
  <c r="AG47" i="1"/>
  <c r="AF47" i="1"/>
  <c r="AH46" i="1"/>
  <c r="AI46" i="1" s="1"/>
  <c r="AG46" i="1"/>
  <c r="AF46" i="1"/>
  <c r="AH44" i="1"/>
  <c r="AI44" i="1" s="1"/>
  <c r="AG44" i="1"/>
  <c r="AF44" i="1"/>
  <c r="AH43" i="1"/>
  <c r="AI43" i="1" s="1"/>
  <c r="AG43" i="1"/>
  <c r="AF43" i="1"/>
  <c r="AH41" i="1"/>
  <c r="AI41" i="1" s="1"/>
  <c r="AG41" i="1"/>
  <c r="AF41" i="1"/>
  <c r="AH40" i="1"/>
  <c r="AI40" i="1" s="1"/>
  <c r="AG40" i="1"/>
  <c r="AF40" i="1"/>
  <c r="AH38" i="1"/>
  <c r="AI38" i="1" s="1"/>
  <c r="AG38" i="1"/>
  <c r="AF38" i="1"/>
  <c r="AH37" i="1"/>
  <c r="AI37" i="1" s="1"/>
  <c r="AG37" i="1"/>
  <c r="AF37" i="1"/>
  <c r="AI34" i="1"/>
  <c r="AH34" i="1"/>
  <c r="AG34" i="1"/>
  <c r="AF34" i="1"/>
  <c r="AH33" i="1"/>
  <c r="AI33" i="1" s="1"/>
  <c r="AG33" i="1"/>
  <c r="AF33" i="1"/>
  <c r="AH31" i="1"/>
  <c r="AI31" i="1" s="1"/>
  <c r="AG31" i="1"/>
  <c r="AF31" i="1"/>
  <c r="AH30" i="1"/>
  <c r="AI30" i="1" s="1"/>
  <c r="AG30" i="1"/>
  <c r="AF30" i="1"/>
  <c r="AH28" i="1"/>
  <c r="AI28" i="1" s="1"/>
  <c r="AG28" i="1"/>
  <c r="AF28" i="1"/>
  <c r="AH26" i="1"/>
  <c r="AI26" i="1" s="1"/>
  <c r="AG26" i="1"/>
  <c r="AF26" i="1"/>
  <c r="AH25" i="1"/>
  <c r="AI25" i="1" s="1"/>
  <c r="AG25" i="1"/>
  <c r="AF25" i="1"/>
  <c r="AH24" i="1"/>
  <c r="AI24" i="1" s="1"/>
  <c r="AG24" i="1"/>
  <c r="AF24" i="1"/>
  <c r="AH20" i="1"/>
  <c r="AI20" i="1" s="1"/>
  <c r="AG20" i="1"/>
  <c r="AF20" i="1"/>
  <c r="AH17" i="1"/>
  <c r="AI17" i="1" s="1"/>
  <c r="AG17" i="1"/>
  <c r="AF17" i="1"/>
  <c r="AH14" i="1"/>
  <c r="AI14" i="1" s="1"/>
  <c r="AG14" i="1"/>
  <c r="AF14" i="1"/>
  <c r="AH13" i="1"/>
  <c r="AI13" i="1" s="1"/>
  <c r="AG13" i="1"/>
  <c r="AF13" i="1"/>
  <c r="AH12" i="1"/>
  <c r="AI12" i="1" s="1"/>
  <c r="AG12" i="1"/>
  <c r="AF12" i="1"/>
  <c r="AH11" i="1"/>
  <c r="AI11" i="1" s="1"/>
  <c r="AG11" i="1"/>
  <c r="AF11" i="1"/>
</calcChain>
</file>

<file path=xl/sharedStrings.xml><?xml version="1.0" encoding="utf-8"?>
<sst xmlns="http://schemas.openxmlformats.org/spreadsheetml/2006/main" count="9823" uniqueCount="5152">
  <si>
    <t>PT CITRA WARNA JAYA ABADI</t>
  </si>
  <si>
    <t xml:space="preserve"> </t>
  </si>
  <si>
    <t>DATA KARYAWAN</t>
  </si>
  <si>
    <t>TAHUN 2020</t>
  </si>
  <si>
    <t>No</t>
  </si>
  <si>
    <t>Data KTP</t>
  </si>
  <si>
    <t>Data Pajak</t>
  </si>
  <si>
    <t>Nomer BPJS</t>
  </si>
  <si>
    <t>Data Tambahan</t>
  </si>
  <si>
    <t>Data Karyawan</t>
  </si>
  <si>
    <t>Nama Lengkap</t>
  </si>
  <si>
    <t>Tempat Lahir</t>
  </si>
  <si>
    <t>Tanggal Lahir</t>
  </si>
  <si>
    <t>Jenis Kelamin</t>
  </si>
  <si>
    <t>Gol Darah</t>
  </si>
  <si>
    <t>Alamat</t>
  </si>
  <si>
    <t>Agama</t>
  </si>
  <si>
    <t>Status Perkawinan</t>
  </si>
  <si>
    <t>Nomor KTP</t>
  </si>
  <si>
    <t>Nomor KK</t>
  </si>
  <si>
    <t>NPWP</t>
  </si>
  <si>
    <t>Status Kawin</t>
  </si>
  <si>
    <t>BPJS-KS</t>
  </si>
  <si>
    <t>STATUS KS</t>
  </si>
  <si>
    <t>BPJS-TK</t>
  </si>
  <si>
    <t>Telepon/ HP</t>
  </si>
  <si>
    <t>Alamat EMAIL</t>
  </si>
  <si>
    <t>Alamat Tinggal Saat Ini</t>
  </si>
  <si>
    <t>Pendidikan Terakhir</t>
  </si>
  <si>
    <t>Nomor Telpon Kerabat</t>
  </si>
  <si>
    <t>Tgl Join</t>
  </si>
  <si>
    <t>NIK</t>
  </si>
  <si>
    <t>Kode sales</t>
  </si>
  <si>
    <t>Status Kyw</t>
  </si>
  <si>
    <t>Jabatan</t>
  </si>
  <si>
    <t>Departemen</t>
  </si>
  <si>
    <t>Cabang</t>
  </si>
  <si>
    <t>Tgl Efektif Resign</t>
  </si>
  <si>
    <t>Wibisono Jadhisno</t>
  </si>
  <si>
    <t>Jakarta</t>
  </si>
  <si>
    <t>L</t>
  </si>
  <si>
    <t>A</t>
  </si>
  <si>
    <t>Jl pulau ayu 3 no 4, dauh puri kauh denpasar barat</t>
  </si>
  <si>
    <t>Kristen</t>
  </si>
  <si>
    <t>Kawin</t>
  </si>
  <si>
    <t>5171030111730022</t>
  </si>
  <si>
    <t>07.123.719.2-901.000</t>
  </si>
  <si>
    <t>K/2</t>
  </si>
  <si>
    <t>-</t>
  </si>
  <si>
    <t>wjadhisno@yahoo.com</t>
  </si>
  <si>
    <t>Jl. Pulau Ayu III, No.4, Dauh Puri Kauh, Denpasar barat</t>
  </si>
  <si>
    <t>0101.0001</t>
  </si>
  <si>
    <t>Tetap</t>
  </si>
  <si>
    <t>Financial Controller</t>
  </si>
  <si>
    <t>Management</t>
  </si>
  <si>
    <t>Head Office 1</t>
  </si>
  <si>
    <t>Hendri</t>
  </si>
  <si>
    <t>Palembang</t>
  </si>
  <si>
    <t>Jl. Pulau Adi V No.1 Denpasar, Br. Bumi Werdhi</t>
  </si>
  <si>
    <t>5171012006790002</t>
  </si>
  <si>
    <t>5171030603130004</t>
  </si>
  <si>
    <t>36.068.499.7-901.000</t>
  </si>
  <si>
    <t>K/3</t>
  </si>
  <si>
    <t>0817352223</t>
  </si>
  <si>
    <t>hdr_stnt@yahoo.co.id</t>
  </si>
  <si>
    <t>SMA</t>
  </si>
  <si>
    <t>0811.1108</t>
  </si>
  <si>
    <t>1108</t>
  </si>
  <si>
    <t>Direktur</t>
  </si>
  <si>
    <t>I Nyoman Nesa</t>
  </si>
  <si>
    <t>Buleleng</t>
  </si>
  <si>
    <t>Jl. Bukit Tunggal Gang VIII/20 E, Link. Tegal Baler Geria, Pemecutan Kelod</t>
  </si>
  <si>
    <t>Hindu</t>
  </si>
  <si>
    <t>5171031404650002</t>
  </si>
  <si>
    <t/>
  </si>
  <si>
    <t>0001577448134</t>
  </si>
  <si>
    <t>BU</t>
  </si>
  <si>
    <t>13009854699</t>
  </si>
  <si>
    <t>tantrimade123@gmail.com</t>
  </si>
  <si>
    <t>0199.1101</t>
  </si>
  <si>
    <t>1101</t>
  </si>
  <si>
    <t>Staff</t>
  </si>
  <si>
    <t>Office</t>
  </si>
  <si>
    <t>Agus Sugianto</t>
  </si>
  <si>
    <t>082340435777</t>
  </si>
  <si>
    <t>Resign</t>
  </si>
  <si>
    <t>Albertus Hari Priyono</t>
  </si>
  <si>
    <t>Yogyakarta</t>
  </si>
  <si>
    <t>Jl. Marlboro XIII No.11 Dps</t>
  </si>
  <si>
    <t>5171032302660003</t>
  </si>
  <si>
    <t>081 236 238 838</t>
  </si>
  <si>
    <t>Jl. Marlboro Gg. XIII No.11 Denpasar</t>
  </si>
  <si>
    <t>(089 522 097 557)</t>
  </si>
  <si>
    <t>Triposa Sudamia</t>
  </si>
  <si>
    <t>Denpasar</t>
  </si>
  <si>
    <t>P</t>
  </si>
  <si>
    <t>Denpasar, Balun Pemecutan Kaja, Denpasar Utara</t>
  </si>
  <si>
    <t>5171044607710008</t>
  </si>
  <si>
    <t>46.328.453.9-901.000</t>
  </si>
  <si>
    <t>TK/0</t>
  </si>
  <si>
    <t>0001463972793</t>
  </si>
  <si>
    <t>13009854681</t>
  </si>
  <si>
    <t>087861400800</t>
  </si>
  <si>
    <t>amy.fosa@gmail.com</t>
  </si>
  <si>
    <t>Jl Maruti III/5 Denpasar</t>
  </si>
  <si>
    <t>088219538550 (adik)</t>
  </si>
  <si>
    <t>0705.1103</t>
  </si>
  <si>
    <t>1103</t>
  </si>
  <si>
    <t>Supervisor</t>
  </si>
  <si>
    <t>Finance</t>
  </si>
  <si>
    <t>Novi Indriawan</t>
  </si>
  <si>
    <t>Magelang</t>
  </si>
  <si>
    <t>JL tentara pelajar 18, cacaban, magelang tengah</t>
  </si>
  <si>
    <t>Islam</t>
  </si>
  <si>
    <t>Belum Kawin</t>
  </si>
  <si>
    <t>3371011611720001</t>
  </si>
  <si>
    <t>TK/2</t>
  </si>
  <si>
    <t>0001577448189</t>
  </si>
  <si>
    <t>19032174781</t>
  </si>
  <si>
    <t>087730187547</t>
  </si>
  <si>
    <t>novie.indriawan@gmail.com</t>
  </si>
  <si>
    <t>perintis kemerdekaan km9 no 12, tamalanrea makassar sulawesi selatan</t>
  </si>
  <si>
    <t>SMK PEMBANGUNAN</t>
  </si>
  <si>
    <t>0905.1104</t>
  </si>
  <si>
    <t>1104</t>
  </si>
  <si>
    <t>Toko</t>
  </si>
  <si>
    <t>CS01</t>
  </si>
  <si>
    <t>Made Suparka</t>
  </si>
  <si>
    <t>Angantaka</t>
  </si>
  <si>
    <t>O</t>
  </si>
  <si>
    <t>Br Desa Angantaka,Abiansemal</t>
  </si>
  <si>
    <t>5103030103730007</t>
  </si>
  <si>
    <t>5103031904070045</t>
  </si>
  <si>
    <t>K/1</t>
  </si>
  <si>
    <t>0001578589029</t>
  </si>
  <si>
    <t>13009854640</t>
  </si>
  <si>
    <t>made.suparka2018@gmail.com</t>
  </si>
  <si>
    <t>jl rembulan no 35</t>
  </si>
  <si>
    <t>1208.1105</t>
  </si>
  <si>
    <t>1105</t>
  </si>
  <si>
    <t>CW07</t>
  </si>
  <si>
    <t>Selviana S. Ledi</t>
  </si>
  <si>
    <t>Bodoradaka</t>
  </si>
  <si>
    <t>Jl cendana, Kampung baru, Kota Waikabubak</t>
  </si>
  <si>
    <t>5312155006760005</t>
  </si>
  <si>
    <t>5312151611160001</t>
  </si>
  <si>
    <t>0001576519042</t>
  </si>
  <si>
    <t>APBD</t>
  </si>
  <si>
    <t>19014360382</t>
  </si>
  <si>
    <t>085238266895</t>
  </si>
  <si>
    <t>selvidapawole@gmail.com</t>
  </si>
  <si>
    <t>jl imam bonjol, perumahan cipta selaras no 135</t>
  </si>
  <si>
    <t>SMA IPS</t>
  </si>
  <si>
    <t>081236366774(adik)</t>
  </si>
  <si>
    <t>1209.1106</t>
  </si>
  <si>
    <t>1106</t>
  </si>
  <si>
    <t>Shopkeeper</t>
  </si>
  <si>
    <t>CW03</t>
  </si>
  <si>
    <t>Sri Rahayu</t>
  </si>
  <si>
    <t>Cirebon</t>
  </si>
  <si>
    <t>Jl Imam Bonjol no264 DPS, Sading sari Pemecutan Kelod</t>
  </si>
  <si>
    <t>5171034801730026</t>
  </si>
  <si>
    <t>5171023110060018</t>
  </si>
  <si>
    <t>0001726822045</t>
  </si>
  <si>
    <t>MANDIRI</t>
  </si>
  <si>
    <t>TIDAK</t>
  </si>
  <si>
    <t>089685639499</t>
  </si>
  <si>
    <t>srir92693@gmail.com</t>
  </si>
  <si>
    <t>Jl Halmahera gg perkutut no 15 DPS</t>
  </si>
  <si>
    <t>085215623117(ibu)</t>
  </si>
  <si>
    <t>0310.1107</t>
  </si>
  <si>
    <t>1107</t>
  </si>
  <si>
    <t>Kasir</t>
  </si>
  <si>
    <t>CW14</t>
  </si>
  <si>
    <t>Agustina Gollu</t>
  </si>
  <si>
    <t>Golluwano</t>
  </si>
  <si>
    <t>Sumba Barat daya</t>
  </si>
  <si>
    <t>085238982993</t>
  </si>
  <si>
    <t>Jl. Cokroaminoto Gg Sedayu No. I</t>
  </si>
  <si>
    <t>I Nyoman Perdana</t>
  </si>
  <si>
    <t>Merita</t>
  </si>
  <si>
    <t>Br dinas batang, labasari, Abang</t>
  </si>
  <si>
    <t>5107052005930001</t>
  </si>
  <si>
    <t>5107052110090248</t>
  </si>
  <si>
    <t>0001577448167</t>
  </si>
  <si>
    <t>15052807821</t>
  </si>
  <si>
    <t>081999870113</t>
  </si>
  <si>
    <t>nyomanperdana20@gmail.com</t>
  </si>
  <si>
    <t>jl dewi madri no 18 renon</t>
  </si>
  <si>
    <t>SMK otomotif</t>
  </si>
  <si>
    <t>087750265855(istri)</t>
  </si>
  <si>
    <t>1011.1109</t>
  </si>
  <si>
    <t>1109</t>
  </si>
  <si>
    <t>CW10</t>
  </si>
  <si>
    <t>Indah Yusmawati</t>
  </si>
  <si>
    <t>Madiun</t>
  </si>
  <si>
    <t>5104014806960001</t>
  </si>
  <si>
    <t>Jl. P Ayu No. 21</t>
  </si>
  <si>
    <t>Christin Erika Rumagit</t>
  </si>
  <si>
    <t>Balikpapan</t>
  </si>
  <si>
    <t>Banjar Moding Kaja , Candikusuma , Melaya , Jembrana</t>
  </si>
  <si>
    <t>5103026804840003</t>
  </si>
  <si>
    <t>5101042209160004</t>
  </si>
  <si>
    <t>91.480.140.2-908.000</t>
  </si>
  <si>
    <t>0001577448202</t>
  </si>
  <si>
    <t>15052807854</t>
  </si>
  <si>
    <t>087861864934</t>
  </si>
  <si>
    <t>erikachristin84@gmail.com</t>
  </si>
  <si>
    <t>JL. Kusumabangsa I ,Denpasar</t>
  </si>
  <si>
    <t>SMA / IPS</t>
  </si>
  <si>
    <t>087860346968</t>
  </si>
  <si>
    <t>0212.1111</t>
  </si>
  <si>
    <t>1111</t>
  </si>
  <si>
    <t>HRM</t>
  </si>
  <si>
    <t>Head Office 2</t>
  </si>
  <si>
    <t>Evi Kurniati</t>
  </si>
  <si>
    <t>Kediri</t>
  </si>
  <si>
    <t>JL. MERPATI GG KENARI NO 2 DPS,BR/LINK. MANUT</t>
  </si>
  <si>
    <t>5171035810700005</t>
  </si>
  <si>
    <t>0001577448213</t>
  </si>
  <si>
    <t>14002639681</t>
  </si>
  <si>
    <t>kurniatievi18@gmail.com</t>
  </si>
  <si>
    <t>JL MERPATI GG KENARI NO 2 DPS</t>
  </si>
  <si>
    <t>S1 PERTANIAN</t>
  </si>
  <si>
    <t>0312.1112</t>
  </si>
  <si>
    <t>1112</t>
  </si>
  <si>
    <t>Training Asisten Supervisor</t>
  </si>
  <si>
    <t>Accounting</t>
  </si>
  <si>
    <t>Maulana Suhadak</t>
  </si>
  <si>
    <t>Jl. Pulau Misol No. 27</t>
  </si>
  <si>
    <t>5171031503910002</t>
  </si>
  <si>
    <t>085205538994</t>
  </si>
  <si>
    <t>Riyanti</t>
  </si>
  <si>
    <t>Blora</t>
  </si>
  <si>
    <t>Panolan , Kedungtuban , Blora</t>
  </si>
  <si>
    <t>3316045508920002</t>
  </si>
  <si>
    <t>3316040711170006</t>
  </si>
  <si>
    <t>0000579269327</t>
  </si>
  <si>
    <t>14002639657</t>
  </si>
  <si>
    <t>0877010523544</t>
  </si>
  <si>
    <t>mikhaylanafisha31@gmail.com</t>
  </si>
  <si>
    <t>Jl. Taman Pancing Gg Amania No.9x</t>
  </si>
  <si>
    <t>SMK / Akuntansi</t>
  </si>
  <si>
    <t>085337131957</t>
  </si>
  <si>
    <t>0412.1114</t>
  </si>
  <si>
    <t>1114</t>
  </si>
  <si>
    <t>CW02</t>
  </si>
  <si>
    <t>I Wayan Agus Indra Utama</t>
  </si>
  <si>
    <t>Kesambahan Kaja</t>
  </si>
  <si>
    <t>Ds Jatiluwih, Kec Penebel Tabanan</t>
  </si>
  <si>
    <t>5102081503940001</t>
  </si>
  <si>
    <t>081 999 752 505</t>
  </si>
  <si>
    <t>Jalan Tudak Citarum Gg DD No 2A</t>
  </si>
  <si>
    <t>Istri (087 862 041 474)</t>
  </si>
  <si>
    <t>16 Februari</t>
  </si>
  <si>
    <t>Pebiana Milka Seingo</t>
  </si>
  <si>
    <t>Golluwano, Sumba NTT</t>
  </si>
  <si>
    <t>5318036505910005</t>
  </si>
  <si>
    <t>081338123750</t>
  </si>
  <si>
    <t>Jl. Raya Sesetan No. 3</t>
  </si>
  <si>
    <t>I Gede Ngurah Pasek</t>
  </si>
  <si>
    <t>Kutampi</t>
  </si>
  <si>
    <t>Br Juarangaya Nusa Penida Klungkung</t>
  </si>
  <si>
    <t>5105011009820002</t>
  </si>
  <si>
    <t>081999066500</t>
  </si>
  <si>
    <t>Jl. Hayam Wuruk No 88 Dps</t>
  </si>
  <si>
    <t>Indra Kurniawan</t>
  </si>
  <si>
    <t>Surabaya</t>
  </si>
  <si>
    <t>Jl. Rajawali 102, Sidoarjo Jatim</t>
  </si>
  <si>
    <t>3515182303820006</t>
  </si>
  <si>
    <t>085792433033</t>
  </si>
  <si>
    <t>Jl Ry Sesetan, Denpasar</t>
  </si>
  <si>
    <t>Agung</t>
  </si>
  <si>
    <t>Bojonegoro</t>
  </si>
  <si>
    <t>DK Nganti,Ngraho, Bojonegoro</t>
  </si>
  <si>
    <t>3522012302940003</t>
  </si>
  <si>
    <t>0001577448156</t>
  </si>
  <si>
    <t>15052807839</t>
  </si>
  <si>
    <t>agungprasetyobekti23@gmail.com</t>
  </si>
  <si>
    <t>jl pulau misol gg 1 no 20</t>
  </si>
  <si>
    <t>0912.1115</t>
  </si>
  <si>
    <t>1115</t>
  </si>
  <si>
    <t>CW05</t>
  </si>
  <si>
    <t>Gusti Km.Sudiartawan</t>
  </si>
  <si>
    <t>Mendoyo</t>
  </si>
  <si>
    <t>Banjar Kepuh , Mendoyo Dauh Tukad , Jembrana</t>
  </si>
  <si>
    <t>5101020802930002</t>
  </si>
  <si>
    <t>5101020405090120</t>
  </si>
  <si>
    <t>0001583649696</t>
  </si>
  <si>
    <t>18057475149</t>
  </si>
  <si>
    <t>087852454096</t>
  </si>
  <si>
    <t>sudiartawan817@gmail.com</t>
  </si>
  <si>
    <t>JL. Gunung Sanghyang , Padang Sambian</t>
  </si>
  <si>
    <t>SMK / IPS</t>
  </si>
  <si>
    <t>0912.1116</t>
  </si>
  <si>
    <t>1116</t>
  </si>
  <si>
    <t>Technical Support</t>
  </si>
  <si>
    <t>Gusti Ngurah KD Juni K</t>
  </si>
  <si>
    <t>Br Kepuh Mendoyo Dauh Tukad Jembrana</t>
  </si>
  <si>
    <t>5101020406940004</t>
  </si>
  <si>
    <t>081 558 379 843</t>
  </si>
  <si>
    <t>Jl. Tegal buah gg pondok 2 putra</t>
  </si>
  <si>
    <t>Ibu (083 131 007 645)</t>
  </si>
  <si>
    <t>Komang Ayu Yuliantari</t>
  </si>
  <si>
    <t>B</t>
  </si>
  <si>
    <t>Jl Nangka no 26C, Taman Sari, Dangin Puri Kaja, Denpasar Utara</t>
  </si>
  <si>
    <t>5171046207940001</t>
  </si>
  <si>
    <t>5171040307140004</t>
  </si>
  <si>
    <t>0001580589099</t>
  </si>
  <si>
    <t>18084959594</t>
  </si>
  <si>
    <t>0895394541317</t>
  </si>
  <si>
    <t>mangayu6969@gmail.com</t>
  </si>
  <si>
    <t>jl nangka no 26c</t>
  </si>
  <si>
    <t>SMK pariwisata</t>
  </si>
  <si>
    <t>087757316271(suami)</t>
  </si>
  <si>
    <t>1112.1118</t>
  </si>
  <si>
    <t>1118</t>
  </si>
  <si>
    <t>Moch Fachrur Rozi</t>
  </si>
  <si>
    <t>Purbolinggo</t>
  </si>
  <si>
    <t>Probolinggo, Jawa Timur</t>
  </si>
  <si>
    <t>3510163007900012</t>
  </si>
  <si>
    <t>085792883439</t>
  </si>
  <si>
    <t>Jl. Pura Demak Gg Malboro XIX</t>
  </si>
  <si>
    <t>Kadek Adi Sukayadnya</t>
  </si>
  <si>
    <t>Jl. Cokroaminoto Gg Teratai 4 Dps</t>
  </si>
  <si>
    <t>5171041203910004</t>
  </si>
  <si>
    <t>083115273996</t>
  </si>
  <si>
    <t>Ginik Susiati</t>
  </si>
  <si>
    <t>Jember</t>
  </si>
  <si>
    <t>Dusun Krajan 1 RT3 RW1, Padomasan, Jombang</t>
  </si>
  <si>
    <t>3509014506840002</t>
  </si>
  <si>
    <t>3509012302120018</t>
  </si>
  <si>
    <t>0001577448257</t>
  </si>
  <si>
    <t>15052807862</t>
  </si>
  <si>
    <t>08563867654</t>
  </si>
  <si>
    <t>giniksusiati@gmail.com</t>
  </si>
  <si>
    <t>jln imam bonjol perum cipta selaras no 35</t>
  </si>
  <si>
    <t>SMK TI</t>
  </si>
  <si>
    <t>081558099334(suami)</t>
  </si>
  <si>
    <t>0112.1119</t>
  </si>
  <si>
    <t>1119</t>
  </si>
  <si>
    <t>CW01</t>
  </si>
  <si>
    <t>Ni Made Dwi Suryani</t>
  </si>
  <si>
    <t>Dili</t>
  </si>
  <si>
    <t>Jl. Tukad Saba No. 7 Panjer</t>
  </si>
  <si>
    <t>5171016810910002</t>
  </si>
  <si>
    <t>081246928388</t>
  </si>
  <si>
    <t>Ni Luh Putu Mertasih</t>
  </si>
  <si>
    <t>Pupuan</t>
  </si>
  <si>
    <t>Br Semoja Pupuan Tabanan</t>
  </si>
  <si>
    <t>5102106806930001</t>
  </si>
  <si>
    <t>081916608159</t>
  </si>
  <si>
    <t>Jl. Mahendradata Soputan Permai No. 13</t>
  </si>
  <si>
    <t>Nurrachma Eka Wulandari</t>
  </si>
  <si>
    <t>Jl. G. Guntur Gg XX No. 22, Dps</t>
  </si>
  <si>
    <t>5171014807940004</t>
  </si>
  <si>
    <t>081246127220</t>
  </si>
  <si>
    <t>I Komang Darmawan</t>
  </si>
  <si>
    <t>Nusa Penida</t>
  </si>
  <si>
    <t>Br Calik Ds. Kutampi Nusa Penida</t>
  </si>
  <si>
    <t>5105010203910004</t>
  </si>
  <si>
    <t>087 815 695 899</t>
  </si>
  <si>
    <t>Jl. Tegal Wengi, Gg Malati Indah 4A</t>
  </si>
  <si>
    <t>Kakak (081 237 809 877)</t>
  </si>
  <si>
    <t>Christian Rosandhy</t>
  </si>
  <si>
    <t>Bandung</t>
  </si>
  <si>
    <t>Jl. Bedugul Gg Yeh Ning No. 1/3, Dps</t>
  </si>
  <si>
    <t>5171010712950002</t>
  </si>
  <si>
    <t>089622224614</t>
  </si>
  <si>
    <t>Gusti Putu Eka Mara Adi</t>
  </si>
  <si>
    <t>Mendoyo Dauh Tukad</t>
  </si>
  <si>
    <t>Banjar kepuh</t>
  </si>
  <si>
    <t>5101022204940004</t>
  </si>
  <si>
    <t>5101020705180007</t>
  </si>
  <si>
    <t>0002458604373</t>
  </si>
  <si>
    <t>18000216202</t>
  </si>
  <si>
    <t>085792105152</t>
  </si>
  <si>
    <t>ekamaraadi25@gmail.com</t>
  </si>
  <si>
    <t>Jl. Batur sari II no 90</t>
  </si>
  <si>
    <t>085237469645</t>
  </si>
  <si>
    <t>0613.1121</t>
  </si>
  <si>
    <t>1121</t>
  </si>
  <si>
    <t>CW13</t>
  </si>
  <si>
    <t>Ida Ayu Putu Cintya Dewi Anggreni</t>
  </si>
  <si>
    <t>BD. GERIA Banyupoh Gerokgak Buleleng</t>
  </si>
  <si>
    <t>5108016007950002</t>
  </si>
  <si>
    <t>5108010308120053</t>
  </si>
  <si>
    <t>0002113832169</t>
  </si>
  <si>
    <t>18065347165</t>
  </si>
  <si>
    <t>081237114065</t>
  </si>
  <si>
    <t>cintyaadewii95@gmail.com</t>
  </si>
  <si>
    <t>Jl ceningan sari IV 31</t>
  </si>
  <si>
    <t>S1 Managemen</t>
  </si>
  <si>
    <t>081333512677 (ibu)</t>
  </si>
  <si>
    <t>0613.1122</t>
  </si>
  <si>
    <t>1122</t>
  </si>
  <si>
    <t>Admin</t>
  </si>
  <si>
    <t>SCMD-SCM</t>
  </si>
  <si>
    <t>Andriyani Alfa Adi</t>
  </si>
  <si>
    <t>Flores</t>
  </si>
  <si>
    <t>Ds Gurung Manggarai</t>
  </si>
  <si>
    <t>53119062908890001</t>
  </si>
  <si>
    <t>082145927231</t>
  </si>
  <si>
    <t>Jl. Gunung Guntur</t>
  </si>
  <si>
    <t>Ni Nyoman Merry Astarini</t>
  </si>
  <si>
    <t>Br Dinas Dauh Siyong, Lumbung Kauh, Selemadeg Barat</t>
  </si>
  <si>
    <t>5102035011940001</t>
  </si>
  <si>
    <t>5102031903083908</t>
  </si>
  <si>
    <t>17040075495</t>
  </si>
  <si>
    <t>081353236691</t>
  </si>
  <si>
    <t>merryastarini@gmail.com</t>
  </si>
  <si>
    <t>Jl Raya Kerobokan, BR Beluran</t>
  </si>
  <si>
    <t>S1 Ekonomi</t>
  </si>
  <si>
    <t>081238326619(ayah)</t>
  </si>
  <si>
    <t>0713.1123</t>
  </si>
  <si>
    <t>1123</t>
  </si>
  <si>
    <t>Asisten Supervisor</t>
  </si>
  <si>
    <t>I Ketut Saputra</t>
  </si>
  <si>
    <t>Kaliakah</t>
  </si>
  <si>
    <t>Kaliakah, Negara</t>
  </si>
  <si>
    <t>5101010709950006</t>
  </si>
  <si>
    <t>081999213716</t>
  </si>
  <si>
    <t>Jl. Muding Buit No. 7</t>
  </si>
  <si>
    <t>Mohamad Saifudin</t>
  </si>
  <si>
    <t>Trenggalek</t>
  </si>
  <si>
    <t>dusun winong, sumurup, bendungan, trenggalek</t>
  </si>
  <si>
    <t>3503091606950002</t>
  </si>
  <si>
    <t>0000665643385</t>
  </si>
  <si>
    <t>APBN</t>
  </si>
  <si>
    <t>17040075537</t>
  </si>
  <si>
    <t>m.syaifudin1695@gmail.com</t>
  </si>
  <si>
    <t>Jl. Malaka IV No 16, Palembang</t>
  </si>
  <si>
    <t>0813.1124</t>
  </si>
  <si>
    <t>1124</t>
  </si>
  <si>
    <t>CM01</t>
  </si>
  <si>
    <t>Ni Nyoman Witarmini</t>
  </si>
  <si>
    <t>Sekarmukti</t>
  </si>
  <si>
    <t>Br. Sekarmukti Petang Badung</t>
  </si>
  <si>
    <t>5103046302870005</t>
  </si>
  <si>
    <t>081999344688</t>
  </si>
  <si>
    <t>Jl. Kusuma Bangsa 1 , Bung Tomo</t>
  </si>
  <si>
    <t>Ni Made Sukari</t>
  </si>
  <si>
    <t>JL Tantri GG 1 no 1, Br Panti gede, Pemecutan Kaja Denpasar</t>
  </si>
  <si>
    <t>5171046307950004</t>
  </si>
  <si>
    <t>5171041508140001</t>
  </si>
  <si>
    <t>0001166470187</t>
  </si>
  <si>
    <t>17040075388</t>
  </si>
  <si>
    <t>083114171223</t>
  </si>
  <si>
    <t>sukari.urry@gmail.com</t>
  </si>
  <si>
    <t>Jlan kerta Rahayu no 34 Denpasar</t>
  </si>
  <si>
    <t>S1 Akuntansi</t>
  </si>
  <si>
    <t>087761496747</t>
  </si>
  <si>
    <t>0913.1125</t>
  </si>
  <si>
    <t>1125</t>
  </si>
  <si>
    <t>Wakil Supervisor</t>
  </si>
  <si>
    <t>Ahmad Nurwahid</t>
  </si>
  <si>
    <t>Dusun Krajan RT2 RW13, Sabrang, Ambulu Jember</t>
  </si>
  <si>
    <t>3509120602950002</t>
  </si>
  <si>
    <t>3509120309056970</t>
  </si>
  <si>
    <t>14026691460</t>
  </si>
  <si>
    <t>081937002748</t>
  </si>
  <si>
    <t>wahidaditya95@gmail.com</t>
  </si>
  <si>
    <t>JL SEMABAUNG,GIANYAR</t>
  </si>
  <si>
    <t>SMA IPA</t>
  </si>
  <si>
    <t>085331161868 (IBU)</t>
  </si>
  <si>
    <t>0913.1126</t>
  </si>
  <si>
    <t>1126</t>
  </si>
  <si>
    <t>CW11</t>
  </si>
  <si>
    <t>Ni Wayan Puspahadi</t>
  </si>
  <si>
    <t>Poyan</t>
  </si>
  <si>
    <t>Jl. Dr Sutomo GG.Cendrawasih 3 , Pemecutan Kaja , Denpasar Utara</t>
  </si>
  <si>
    <t>5171046411860001</t>
  </si>
  <si>
    <t>5171042609120019</t>
  </si>
  <si>
    <t>0001577540406</t>
  </si>
  <si>
    <t>17040075479</t>
  </si>
  <si>
    <t>081936915155</t>
  </si>
  <si>
    <t>Jl. Sutomo GG. Cendrawasih No.3</t>
  </si>
  <si>
    <t>1113.1127</t>
  </si>
  <si>
    <t>1127</t>
  </si>
  <si>
    <t>Rofinus Jabur</t>
  </si>
  <si>
    <t>Laja</t>
  </si>
  <si>
    <t>Laja, Manggarai NTT</t>
  </si>
  <si>
    <t>5310031710920662</t>
  </si>
  <si>
    <t>085338215159</t>
  </si>
  <si>
    <t>Jl. Tangkuban Prahu, Padang Sambian</t>
  </si>
  <si>
    <t>Ni Komang Sudiantari</t>
  </si>
  <si>
    <t>Manggis</t>
  </si>
  <si>
    <t>BR dinas kaler, Desa Antica, Kec Manggis Karangasem</t>
  </si>
  <si>
    <t>5107036412910001</t>
  </si>
  <si>
    <t>5107031901130001</t>
  </si>
  <si>
    <t>0002214583582</t>
  </si>
  <si>
    <t>17040075396</t>
  </si>
  <si>
    <t>087760089072</t>
  </si>
  <si>
    <t>ayuantari2412@gmail.com</t>
  </si>
  <si>
    <t>Jl gelogor carik gg flamboyan, pemogan</t>
  </si>
  <si>
    <t>D1 Akuntansi</t>
  </si>
  <si>
    <t>082146939624(suami)</t>
  </si>
  <si>
    <t>1213.1128</t>
  </si>
  <si>
    <t>1128</t>
  </si>
  <si>
    <t>QMR</t>
  </si>
  <si>
    <t>QA</t>
  </si>
  <si>
    <t>Susanto</t>
  </si>
  <si>
    <t>Lampung</t>
  </si>
  <si>
    <t>Bali Sadar sltn, Way Kanan Lampung</t>
  </si>
  <si>
    <t>1808031206930005</t>
  </si>
  <si>
    <t>081805381712</t>
  </si>
  <si>
    <t>Jl. Supriori Gg II No. 1</t>
  </si>
  <si>
    <t>Leonardus Mpangur</t>
  </si>
  <si>
    <t xml:space="preserve"> Meni</t>
  </si>
  <si>
    <t>Meni , Golo Pari , NTT</t>
  </si>
  <si>
    <t>Katolik</t>
  </si>
  <si>
    <t>5319041206940004</t>
  </si>
  <si>
    <t>5319043007081779</t>
  </si>
  <si>
    <t>0000871777563</t>
  </si>
  <si>
    <t>14026691494</t>
  </si>
  <si>
    <t>081237848371</t>
  </si>
  <si>
    <t>sanymeni042@gmail.com</t>
  </si>
  <si>
    <t>Jl. Kenyeri Gg. Meduri No.17</t>
  </si>
  <si>
    <t>082145235473</t>
  </si>
  <si>
    <t>1213.1129</t>
  </si>
  <si>
    <t>1129</t>
  </si>
  <si>
    <t>I Gede Astawa</t>
  </si>
  <si>
    <t>Datah</t>
  </si>
  <si>
    <t>Br Tindih Karangasem</t>
  </si>
  <si>
    <t>5107052501950003</t>
  </si>
  <si>
    <t>085792400607</t>
  </si>
  <si>
    <t xml:space="preserve">Jl. Raya Abianbase </t>
  </si>
  <si>
    <t>Yohanes B. Anom</t>
  </si>
  <si>
    <t>Gurung kota komba Manggarai NTT</t>
  </si>
  <si>
    <t>5319061003930004</t>
  </si>
  <si>
    <t>082339713897</t>
  </si>
  <si>
    <t>Jl. Gn Guntur Kerobokan</t>
  </si>
  <si>
    <t>Gede Sudarma</t>
  </si>
  <si>
    <t>Sangsit</t>
  </si>
  <si>
    <t>Jl Merdeka no 3 Bangli Kawan,  BANGLI</t>
  </si>
  <si>
    <t>5106023001700002</t>
  </si>
  <si>
    <t>5106021409100002</t>
  </si>
  <si>
    <t>82.425.036.9-907.000</t>
  </si>
  <si>
    <t>0000143820369</t>
  </si>
  <si>
    <t>16034981924</t>
  </si>
  <si>
    <t>083114370002</t>
  </si>
  <si>
    <t>sudarmaajus25@gmail.com</t>
  </si>
  <si>
    <t>Le-Aya bangli</t>
  </si>
  <si>
    <t>082146434913</t>
  </si>
  <si>
    <t>0214.1131</t>
  </si>
  <si>
    <t>1131</t>
  </si>
  <si>
    <t>CW08</t>
  </si>
  <si>
    <t>David Surya Adinata</t>
  </si>
  <si>
    <t>Banyuwangi</t>
  </si>
  <si>
    <t>Ds Pandan, Genteng Banyuwangi</t>
  </si>
  <si>
    <t>3510092106940003</t>
  </si>
  <si>
    <t>088802817522</t>
  </si>
  <si>
    <t>Jl. Imam Bonjol Gg Marga Agung No 14</t>
  </si>
  <si>
    <t>I Dewa Gede Wiratama</t>
  </si>
  <si>
    <t>Gianyar</t>
  </si>
  <si>
    <t>Br Yangloni, peliatan Ubud</t>
  </si>
  <si>
    <t>5104052111910004</t>
  </si>
  <si>
    <t>5104050812090093</t>
  </si>
  <si>
    <t>0001054926459</t>
  </si>
  <si>
    <t>17040075453</t>
  </si>
  <si>
    <t>085739202421</t>
  </si>
  <si>
    <t>the_becool@yahoo.com</t>
  </si>
  <si>
    <t>BR YANGLONI, PELIATAN. UBUD</t>
  </si>
  <si>
    <t>SMK IT</t>
  </si>
  <si>
    <t>0414.1132</t>
  </si>
  <si>
    <t>1132</t>
  </si>
  <si>
    <t>CW17</t>
  </si>
  <si>
    <t>Ni Made Suwi Maheni</t>
  </si>
  <si>
    <t>Lodtunduh</t>
  </si>
  <si>
    <t>Ds Lodtunduh Gianyar</t>
  </si>
  <si>
    <t>5104016711810001</t>
  </si>
  <si>
    <t>085 792 837 601</t>
  </si>
  <si>
    <t>Br Delod tangluk, Sukawati Gianyar</t>
  </si>
  <si>
    <t>Suami (085 727 374 209)</t>
  </si>
  <si>
    <t>Ni Wayan Rian Kumarantini</t>
  </si>
  <si>
    <t>Br. Laplap Kauh Penatih, Dangri</t>
  </si>
  <si>
    <t>5171025503960001</t>
  </si>
  <si>
    <t>083114146612</t>
  </si>
  <si>
    <t>Jl. Siulan No. 225 Penatih Dentim</t>
  </si>
  <si>
    <t>Nasirudin</t>
  </si>
  <si>
    <t>Rambipuji, Jember</t>
  </si>
  <si>
    <t>5171031806960001</t>
  </si>
  <si>
    <t>089 862 930 74</t>
  </si>
  <si>
    <t>Jl. Pulau Misol Gg 18 No. 2 Denpasar</t>
  </si>
  <si>
    <t>Orangtua (081 557 429 04)</t>
  </si>
  <si>
    <t>Adi Prastyo Ariyadi</t>
  </si>
  <si>
    <t>Kaliasar Rt 01/01 Banyuwangi</t>
  </si>
  <si>
    <t>3510042605960002</t>
  </si>
  <si>
    <t>087857289737</t>
  </si>
  <si>
    <t>Jl. Imam bonjol Gg Marga Puri ayu No. E 3</t>
  </si>
  <si>
    <t>Shinta Kumala</t>
  </si>
  <si>
    <t>Ds Kedondong, Kebonsari Madiun</t>
  </si>
  <si>
    <t>3519014406920003</t>
  </si>
  <si>
    <t>085738558807</t>
  </si>
  <si>
    <t>Jl. Kebo Iwa Gg Duku</t>
  </si>
  <si>
    <t>Nur Aini</t>
  </si>
  <si>
    <t>Ds.Sarongah, Kec Pesanggaran, BWI</t>
  </si>
  <si>
    <t>3510015510940003</t>
  </si>
  <si>
    <t>0001082964486</t>
  </si>
  <si>
    <t>17040075446</t>
  </si>
  <si>
    <t>ainie1015@gmail.com</t>
  </si>
  <si>
    <t>jl pulau kawe gg appolo no 3</t>
  </si>
  <si>
    <t>1114.1136</t>
  </si>
  <si>
    <t>1136</t>
  </si>
  <si>
    <t>I Gede Supa</t>
  </si>
  <si>
    <t>Ampal</t>
  </si>
  <si>
    <t>Dusun Ampel desa pejukutan nusa penida</t>
  </si>
  <si>
    <t>5207062402880001</t>
  </si>
  <si>
    <t>5105013107170001</t>
  </si>
  <si>
    <t>0002109977381</t>
  </si>
  <si>
    <t>18037630441</t>
  </si>
  <si>
    <t>085237249766</t>
  </si>
  <si>
    <t>Jl Rapuan cili tarukan mas ubud</t>
  </si>
  <si>
    <t>SMK</t>
  </si>
  <si>
    <t>082339790663</t>
  </si>
  <si>
    <t>2.1214.1137</t>
  </si>
  <si>
    <t>1137</t>
  </si>
  <si>
    <t>Nila Novia</t>
  </si>
  <si>
    <t>Sukoharjo</t>
  </si>
  <si>
    <t>Ds. Begajah Rt 03/04 Sukoharjo Jawa Tengah</t>
  </si>
  <si>
    <t>3311045711950005</t>
  </si>
  <si>
    <t>083114611194</t>
  </si>
  <si>
    <t>Jl. P. Misol Gg XVII No. 11 Denpasar</t>
  </si>
  <si>
    <t>Pt Eka Adi Parwata</t>
  </si>
  <si>
    <t>Mendoyo Dauh Tukad, Negara Jembrana</t>
  </si>
  <si>
    <t>5101022912920003</t>
  </si>
  <si>
    <t>085739921563</t>
  </si>
  <si>
    <t>Jl. Keboiwa Gg Kelapa Gading</t>
  </si>
  <si>
    <t>Mohamad Hanaki</t>
  </si>
  <si>
    <t>Dusun Krajan RT2 RW6 Sarongan, Pesanggaran</t>
  </si>
  <si>
    <t>3510011405920002</t>
  </si>
  <si>
    <t>3510011007080004</t>
  </si>
  <si>
    <t>K/0</t>
  </si>
  <si>
    <t>0000696795265</t>
  </si>
  <si>
    <t>17040075511</t>
  </si>
  <si>
    <t>081238701899</t>
  </si>
  <si>
    <t>kikihanaki@gmail.com</t>
  </si>
  <si>
    <t>Jl mawar no 50 tabanan</t>
  </si>
  <si>
    <t>081238234719(istri)</t>
  </si>
  <si>
    <t>1214.1138</t>
  </si>
  <si>
    <t>1138</t>
  </si>
  <si>
    <t>CW12</t>
  </si>
  <si>
    <t>I Wayan Kariasa</t>
  </si>
  <si>
    <t>Sumberkima</t>
  </si>
  <si>
    <t>Bd. Sumberbunga Sumberkima Gerokgak</t>
  </si>
  <si>
    <t>5108010307950004</t>
  </si>
  <si>
    <t>085739615901</t>
  </si>
  <si>
    <t>Jl. GN. Guntur  No. 10</t>
  </si>
  <si>
    <t>Marselur Dosi</t>
  </si>
  <si>
    <t>Pembe</t>
  </si>
  <si>
    <t>Flores Manggarai timur NTT</t>
  </si>
  <si>
    <t>5319042207930002</t>
  </si>
  <si>
    <t>085253334651</t>
  </si>
  <si>
    <t>Jl Kenyeri No. 17</t>
  </si>
  <si>
    <t>I Dewa Gede Suradityawan</t>
  </si>
  <si>
    <t>Br Yangloni, Peliatan, Ubud</t>
  </si>
  <si>
    <t>5104050111920001</t>
  </si>
  <si>
    <t>5104052301190002</t>
  </si>
  <si>
    <t>0002479265436</t>
  </si>
  <si>
    <t>18010131680</t>
  </si>
  <si>
    <t>089514816266</t>
  </si>
  <si>
    <t>dewasuradityawan@gmail.com</t>
  </si>
  <si>
    <t>BR YANGLONI</t>
  </si>
  <si>
    <t>S1 PENGDIDIKAN AGAMA</t>
  </si>
  <si>
    <t>082341167720 ( ISTRI-</t>
  </si>
  <si>
    <t>0215.1139</t>
  </si>
  <si>
    <t>1139</t>
  </si>
  <si>
    <t>Sahdi</t>
  </si>
  <si>
    <t>Gereneng</t>
  </si>
  <si>
    <t>Ds Gereneng Selong, Lombok Timur</t>
  </si>
  <si>
    <t>5203180506940006</t>
  </si>
  <si>
    <t>0002112364989</t>
  </si>
  <si>
    <t>bermasalah</t>
  </si>
  <si>
    <t>sahdi.lank.saputra@gmail.com</t>
  </si>
  <si>
    <t>jl ceningan sari g melati no 2b denpasar selata</t>
  </si>
  <si>
    <t>0315.1140</t>
  </si>
  <si>
    <t>1140</t>
  </si>
  <si>
    <t>Ida Bagus Gede Jaya Giri</t>
  </si>
  <si>
    <t>Br Semoja, Pupuan, Tabanan</t>
  </si>
  <si>
    <t>5103030909360003</t>
  </si>
  <si>
    <t>5102102708150003</t>
  </si>
  <si>
    <t>0002662330858</t>
  </si>
  <si>
    <t>15014360424</t>
  </si>
  <si>
    <t>085955126066</t>
  </si>
  <si>
    <t>idabagusgedejayagiri0996@gmail.com</t>
  </si>
  <si>
    <t>Br Pasek Desa Jagapati, Abiansemal Badung</t>
  </si>
  <si>
    <t>087862189610 (ibu)</t>
  </si>
  <si>
    <t>0415.1141</t>
  </si>
  <si>
    <t>1141</t>
  </si>
  <si>
    <t>CW16</t>
  </si>
  <si>
    <t>M Dedi Hirfan Hartono</t>
  </si>
  <si>
    <t>Batu Beronggok</t>
  </si>
  <si>
    <t>Ds Bungtiang Selong Lombok Timur</t>
  </si>
  <si>
    <t>960816280111</t>
  </si>
  <si>
    <t>087863496500</t>
  </si>
  <si>
    <t>Jl. Tukad Pakerisan</t>
  </si>
  <si>
    <t>Umi Saroh</t>
  </si>
  <si>
    <t>Jl. Banyuwangi Kec. Genteng Sempu Setail</t>
  </si>
  <si>
    <t>820716184249</t>
  </si>
  <si>
    <t>082339685781</t>
  </si>
  <si>
    <t>Jl. Letda Reta No. 24 Dentim</t>
  </si>
  <si>
    <t>I Wayan Agus Adi Saputra</t>
  </si>
  <si>
    <t>Jl. Tangkuban Prahu Gg Kuda No. 3</t>
  </si>
  <si>
    <t>880716181206</t>
  </si>
  <si>
    <t>087861790326</t>
  </si>
  <si>
    <t>Februari</t>
  </si>
  <si>
    <t>I Made Asih</t>
  </si>
  <si>
    <t xml:space="preserve">Br. Ketug Manggis Karangasem </t>
  </si>
  <si>
    <t>5107032211920002</t>
  </si>
  <si>
    <t>085205835406</t>
  </si>
  <si>
    <t>Jl. Ayani Utara</t>
  </si>
  <si>
    <t>I Dewa Gede Satriyo Agung Wicaksana</t>
  </si>
  <si>
    <t>Tabanan</t>
  </si>
  <si>
    <t>Br Dinas Pangki, Buleleng Tabanan</t>
  </si>
  <si>
    <t>5108031904950004</t>
  </si>
  <si>
    <t>085739280025</t>
  </si>
  <si>
    <t>Yulius Nanang Subagyo</t>
  </si>
  <si>
    <t>Gunungkidul</t>
  </si>
  <si>
    <t>Sanggrahan, Gunungkidul Yogyakarta</t>
  </si>
  <si>
    <t>3403100207850004</t>
  </si>
  <si>
    <t>081328202228</t>
  </si>
  <si>
    <t>Jl. Himalaya</t>
  </si>
  <si>
    <t>Rizal Kusnayadi Saputra</t>
  </si>
  <si>
    <t>Doroh , Gereneng , Sakra Timur , Lombok Timur</t>
  </si>
  <si>
    <t>5203181409950002</t>
  </si>
  <si>
    <t>5203181811100032</t>
  </si>
  <si>
    <t>0002662327528</t>
  </si>
  <si>
    <t>18037630433</t>
  </si>
  <si>
    <t>081918211179</t>
  </si>
  <si>
    <t>rizalmm2.rm@gmail.com</t>
  </si>
  <si>
    <t>JL. Tukad Banyusari, GG.3, No.6</t>
  </si>
  <si>
    <t>SMK / Multimedia</t>
  </si>
  <si>
    <t>081999641238</t>
  </si>
  <si>
    <t>0615.1142</t>
  </si>
  <si>
    <t>1142</t>
  </si>
  <si>
    <t>Training Wakil Supervisor</t>
  </si>
  <si>
    <t>I Kadek Dwi Sudarmadi Putra</t>
  </si>
  <si>
    <t>Sangkar Agung</t>
  </si>
  <si>
    <t>Ling. Pangkung Gondang, Sangkaragung</t>
  </si>
  <si>
    <t>5101050103960003</t>
  </si>
  <si>
    <t>081 529 364 440</t>
  </si>
  <si>
    <t>Jl. Bikini  No 1 Gg 5 , Padang Sambian Kelod</t>
  </si>
  <si>
    <t>Ibu (085 792 670 952)</t>
  </si>
  <si>
    <t>Ni Kadek Dodi Warsiki</t>
  </si>
  <si>
    <t>Sukaluwih</t>
  </si>
  <si>
    <t>Br dinas Sukaluwih, Amertabhuana, Selat</t>
  </si>
  <si>
    <t>5107075307970002</t>
  </si>
  <si>
    <t>5107071210090052</t>
  </si>
  <si>
    <t>0002662362461</t>
  </si>
  <si>
    <t>19007167018</t>
  </si>
  <si>
    <t>0895361448005</t>
  </si>
  <si>
    <t>dodiwarsiki64230@gmail.com</t>
  </si>
  <si>
    <t>JL tangkuban perahu perum tegal belong no 23c</t>
  </si>
  <si>
    <t>SMK Pariwisata</t>
  </si>
  <si>
    <t>085333683357(ayah)</t>
  </si>
  <si>
    <t>0615.1144</t>
  </si>
  <si>
    <t>1144</t>
  </si>
  <si>
    <t>I Kadek Anton Purwanto</t>
  </si>
  <si>
    <t>Bangli</t>
  </si>
  <si>
    <t>Br Pulesari Kangin Peninjoan Bangli</t>
  </si>
  <si>
    <t>5106032610920002</t>
  </si>
  <si>
    <t>083114804234</t>
  </si>
  <si>
    <t>Jl. Nangka Utara, Gg Sampan No. 2</t>
  </si>
  <si>
    <t>Nazula Agustin</t>
  </si>
  <si>
    <t>Bangkalan</t>
  </si>
  <si>
    <t>JL.P BIAK NO14 DPS,BR/LINK JEMATANG</t>
  </si>
  <si>
    <t>5171036208970001</t>
  </si>
  <si>
    <t>5171032106070718</t>
  </si>
  <si>
    <t>0002662330869</t>
  </si>
  <si>
    <t>17040075438</t>
  </si>
  <si>
    <t>087860353332</t>
  </si>
  <si>
    <t>nazullaagustin321@gmail.com</t>
  </si>
  <si>
    <t>jl pulau biak no 12 dps barat</t>
  </si>
  <si>
    <t>SMK administrasi</t>
  </si>
  <si>
    <t>08123955460 bapak</t>
  </si>
  <si>
    <t>0815.1145</t>
  </si>
  <si>
    <t>1145</t>
  </si>
  <si>
    <t>SCMD-WH</t>
  </si>
  <si>
    <t>Warehouse</t>
  </si>
  <si>
    <t>I Gede Mardika</t>
  </si>
  <si>
    <t>Br. Dinas Abadi kec. Abang</t>
  </si>
  <si>
    <t>5107051212940003</t>
  </si>
  <si>
    <t>0887869714309</t>
  </si>
  <si>
    <t>Jl. Plawa Gg. II No. 4 , Denpasar</t>
  </si>
  <si>
    <t>Yogo Ramadan</t>
  </si>
  <si>
    <t>Ds Sumuran Kemadang Tanjungsari</t>
  </si>
  <si>
    <t>3403170104950001</t>
  </si>
  <si>
    <t>081339369964</t>
  </si>
  <si>
    <t>Jl. Babakan Sari 6 C , Gg Manggis No. 10</t>
  </si>
  <si>
    <t>I Kadek Sudarmayasa</t>
  </si>
  <si>
    <t>kaliakah</t>
  </si>
  <si>
    <t>Br Kaliakah Negara Jembrana</t>
  </si>
  <si>
    <t>5101011306970004</t>
  </si>
  <si>
    <t>081529342551</t>
  </si>
  <si>
    <t>Jl. Abianbase , Gg Gumintir 6</t>
  </si>
  <si>
    <t>Reni Anjarsari</t>
  </si>
  <si>
    <t>Sragen</t>
  </si>
  <si>
    <t>Dukuh Kaponan Duyungan, Sidoharjo, Sragen Jawa Tengah</t>
  </si>
  <si>
    <t>3314116909940001</t>
  </si>
  <si>
    <t>3314110612030718</t>
  </si>
  <si>
    <t>0001530819426</t>
  </si>
  <si>
    <t>18022069720</t>
  </si>
  <si>
    <t>0895412374460</t>
  </si>
  <si>
    <t>renianjarsari29@gmail.com</t>
  </si>
  <si>
    <t>Jl Gn Guntur gg korawa no 10</t>
  </si>
  <si>
    <t>0895378022498</t>
  </si>
  <si>
    <t>0915.1147</t>
  </si>
  <si>
    <t>1147</t>
  </si>
  <si>
    <t>Riski Wahyudi</t>
  </si>
  <si>
    <t>bontokape</t>
  </si>
  <si>
    <t>Bontokape, Bima NTT</t>
  </si>
  <si>
    <t>5206020110971004</t>
  </si>
  <si>
    <t>082 339 922 126</t>
  </si>
  <si>
    <t>Jl. P. Moyo, Perum Kori Nuasa Ped.</t>
  </si>
  <si>
    <t>Adik (085 205 488 505)</t>
  </si>
  <si>
    <t>Putri Yuliati</t>
  </si>
  <si>
    <t>sragen</t>
  </si>
  <si>
    <t>Duyungan, Sidoharjo</t>
  </si>
  <si>
    <t>3314114907950003</t>
  </si>
  <si>
    <t>085 857 970 604</t>
  </si>
  <si>
    <t>Br. Tegal Lantang Padangsambian Kelod Denpasar Barat</t>
  </si>
  <si>
    <t>Teman (089 536 870 7424)</t>
  </si>
  <si>
    <t>Husni Mubarok</t>
  </si>
  <si>
    <t>dusun darussalam,jatimulyo, Jember</t>
  </si>
  <si>
    <t>3509162810970002</t>
  </si>
  <si>
    <t>0002941344819</t>
  </si>
  <si>
    <t>18037630458</t>
  </si>
  <si>
    <t>085749718853</t>
  </si>
  <si>
    <t>husnisingoedan551@gmail.com</t>
  </si>
  <si>
    <t>jl pulau singkep gg1 no 20</t>
  </si>
  <si>
    <t>0915.1149</t>
  </si>
  <si>
    <t>1149</t>
  </si>
  <si>
    <t>Ni Kadek Ayu Susriyanti</t>
  </si>
  <si>
    <t>viqueque</t>
  </si>
  <si>
    <t>Br Poyan Baturiti Tabanan</t>
  </si>
  <si>
    <t>5102094701970002</t>
  </si>
  <si>
    <t>085 739 450 772</t>
  </si>
  <si>
    <t>Jl. Sari Dana X No.5 Ubung Kaja</t>
  </si>
  <si>
    <t>Orang tua (085 738 924 354)</t>
  </si>
  <si>
    <t>I Kadek Mei Purwa Antara</t>
  </si>
  <si>
    <t>Br Munduk Kaliakah Negara</t>
  </si>
  <si>
    <t>5101010205960008</t>
  </si>
  <si>
    <t>081936057053</t>
  </si>
  <si>
    <t>Jl. Imam Bonjol, Dps</t>
  </si>
  <si>
    <t>Riska Elvandari</t>
  </si>
  <si>
    <t>Dusun Sumberjo RT1 RW30, Yosorati, Sumber Baru</t>
  </si>
  <si>
    <t>3509036205930001</t>
  </si>
  <si>
    <t>3509030108170001</t>
  </si>
  <si>
    <t>0002663125086</t>
  </si>
  <si>
    <t>18010131623</t>
  </si>
  <si>
    <t>085749276900</t>
  </si>
  <si>
    <t>riskaelvandari22@gmail.com</t>
  </si>
  <si>
    <t>Jl Pengalasan no 8</t>
  </si>
  <si>
    <t>D3 Perkebunan</t>
  </si>
  <si>
    <t>085749496680 (Suami)</t>
  </si>
  <si>
    <t>1015.1152</t>
  </si>
  <si>
    <t>1152</t>
  </si>
  <si>
    <t>Niluh Ayu Putu Maetrayani</t>
  </si>
  <si>
    <t>Toabo</t>
  </si>
  <si>
    <t>Banjar Moding Kaja, Candikusuma, Melaya</t>
  </si>
  <si>
    <t>7602104609880001</t>
  </si>
  <si>
    <t>5101040802120001</t>
  </si>
  <si>
    <t>0002114116953</t>
  </si>
  <si>
    <t>18037630466</t>
  </si>
  <si>
    <t>082144358840</t>
  </si>
  <si>
    <t>ayumaetrayani23534@gmail.com</t>
  </si>
  <si>
    <t>jl gunung guntur gg xxiv</t>
  </si>
  <si>
    <t>SMK THP</t>
  </si>
  <si>
    <t>087862273382(kakak)</t>
  </si>
  <si>
    <t>1015.1151</t>
  </si>
  <si>
    <t>1151</t>
  </si>
  <si>
    <t>Mohammad Jayadi</t>
  </si>
  <si>
    <t>Doroh</t>
  </si>
  <si>
    <t>Doroh, Desa Gereneng Kec. Sakra Timur</t>
  </si>
  <si>
    <t>5203181207950001</t>
  </si>
  <si>
    <t>5203182701110262</t>
  </si>
  <si>
    <t>0002817542553</t>
  </si>
  <si>
    <t>17040075545</t>
  </si>
  <si>
    <t>081913447160</t>
  </si>
  <si>
    <t>jayadinune@gmail.com</t>
  </si>
  <si>
    <t>Jln tukad banyusan 66.3 no.6</t>
  </si>
  <si>
    <t>085238829116</t>
  </si>
  <si>
    <t>1015.1153</t>
  </si>
  <si>
    <t>1153</t>
  </si>
  <si>
    <t>CW20</t>
  </si>
  <si>
    <t>Ali Mustofa</t>
  </si>
  <si>
    <t>Karya Jaya</t>
  </si>
  <si>
    <t>1808033101930003</t>
  </si>
  <si>
    <t>085767051733</t>
  </si>
  <si>
    <t>Jl. Imam Bonjol Gg Ulun Danu No. 502</t>
  </si>
  <si>
    <t>Marthinus Kendu</t>
  </si>
  <si>
    <t>Puu Tanasa</t>
  </si>
  <si>
    <t>Pada eweta,wewewa timur, sumba barat daya</t>
  </si>
  <si>
    <t>5318031203840003</t>
  </si>
  <si>
    <t>kendumartinus@gmail.com</t>
  </si>
  <si>
    <t>jl tangkuban perahu</t>
  </si>
  <si>
    <t>1115.1154</t>
  </si>
  <si>
    <t>1154</t>
  </si>
  <si>
    <t>Driver</t>
  </si>
  <si>
    <t>Ni Putu Kendida Sekariani.S</t>
  </si>
  <si>
    <t>Banjar dinas segara, giri emas, sawan</t>
  </si>
  <si>
    <t>5108075909960003</t>
  </si>
  <si>
    <t>5108072308110005</t>
  </si>
  <si>
    <t>0002407567555</t>
  </si>
  <si>
    <t>18022069746</t>
  </si>
  <si>
    <t>081353726281</t>
  </si>
  <si>
    <t>kendisekariani@gmail.com</t>
  </si>
  <si>
    <t>Jl baja taki no 18 pds utara</t>
  </si>
  <si>
    <t>083830463920 (adik</t>
  </si>
  <si>
    <t>1115.1155</t>
  </si>
  <si>
    <t>1155</t>
  </si>
  <si>
    <t>Muhammad Sholihin</t>
  </si>
  <si>
    <t>jember</t>
  </si>
  <si>
    <t>Dusun Krajan Desa Kertosari Kec. Pakusari</t>
  </si>
  <si>
    <t>3509241208960001</t>
  </si>
  <si>
    <t>082230303940</t>
  </si>
  <si>
    <t>Jl. Gunung Shanghyang</t>
  </si>
  <si>
    <t>Ni Nyoman Sarniti Adnyani</t>
  </si>
  <si>
    <t>Mungsengan</t>
  </si>
  <si>
    <t>Br. Dinas Mungsengan, Catur, Kintamani</t>
  </si>
  <si>
    <t>5106046903960004</t>
  </si>
  <si>
    <t>5106042508067329</t>
  </si>
  <si>
    <t>0001802468384</t>
  </si>
  <si>
    <t>18022069738</t>
  </si>
  <si>
    <t>087761548510</t>
  </si>
  <si>
    <t>komangsarnitia@gmail.com</t>
  </si>
  <si>
    <t>Perum tirta graha canggu</t>
  </si>
  <si>
    <t>SMK Akuntansi</t>
  </si>
  <si>
    <t>087862235737 (ayah)</t>
  </si>
  <si>
    <t>0116.1156</t>
  </si>
  <si>
    <t>1156</t>
  </si>
  <si>
    <t>CW06</t>
  </si>
  <si>
    <t>Rafi Ramdhani</t>
  </si>
  <si>
    <t>jembrana</t>
  </si>
  <si>
    <t>Jl. G Kerinci No.10, Jembrana</t>
  </si>
  <si>
    <t>5101050302960004</t>
  </si>
  <si>
    <t>087730530875</t>
  </si>
  <si>
    <t>Jl. Pure Demak No. 10</t>
  </si>
  <si>
    <t>I Nyoman Adi Sugiantara</t>
  </si>
  <si>
    <t>jl dr sutomo gg cendrawasih, pemecutan kaja denpasar utara</t>
  </si>
  <si>
    <t>5171041109970001</t>
  </si>
  <si>
    <t>5171042607070005</t>
  </si>
  <si>
    <t>0001082601966</t>
  </si>
  <si>
    <t>18010131664</t>
  </si>
  <si>
    <t>adisugiantara330@gmail.com</t>
  </si>
  <si>
    <t>jalan sutomo gg cendrawasih no 3</t>
  </si>
  <si>
    <t>0116.1157</t>
  </si>
  <si>
    <t>1157</t>
  </si>
  <si>
    <t>Pengiriman Motor</t>
  </si>
  <si>
    <t>Ni Luh Wayan Mira Septiari</t>
  </si>
  <si>
    <t>Kerobokan</t>
  </si>
  <si>
    <t>Jl. Gn Athena gg Villa Athena no .1</t>
  </si>
  <si>
    <t>510209670996002</t>
  </si>
  <si>
    <t>083 114 793 927</t>
  </si>
  <si>
    <t>Jl. Raya Batuyang, Gang Pipit, Perumahan Pipit Permai</t>
  </si>
  <si>
    <t>Saudara (083 117 999 110)</t>
  </si>
  <si>
    <t>Ika Candra Purnamasari</t>
  </si>
  <si>
    <t>17 Juli 1989</t>
  </si>
  <si>
    <t>Jalan Tukad Melangit GG III No 10 B Dps</t>
  </si>
  <si>
    <t>3509125707890009</t>
  </si>
  <si>
    <t>082144252662</t>
  </si>
  <si>
    <t>I Gede Suwanta</t>
  </si>
  <si>
    <t>Lombok barat</t>
  </si>
  <si>
    <t>JL. TK PULE NO 16 DPS/BR/LINK TENGAH</t>
  </si>
  <si>
    <t>KAWIN</t>
  </si>
  <si>
    <t>5171032408770007</t>
  </si>
  <si>
    <t>5171010308110005</t>
  </si>
  <si>
    <t>0001441328848</t>
  </si>
  <si>
    <t>18010131656</t>
  </si>
  <si>
    <t>085333480123</t>
  </si>
  <si>
    <t>igedesuwanta@gmail.com</t>
  </si>
  <si>
    <t>jl tukad tegalwangi sesetan</t>
  </si>
  <si>
    <t>081338746373 istri</t>
  </si>
  <si>
    <t>0216.1159</t>
  </si>
  <si>
    <t>1159</t>
  </si>
  <si>
    <t>I Kadek  Budiana</t>
  </si>
  <si>
    <t>Jembrana</t>
  </si>
  <si>
    <t>Banjar Peh, Kaliakah Jembrana</t>
  </si>
  <si>
    <t>5101011008960007</t>
  </si>
  <si>
    <t>087761604599</t>
  </si>
  <si>
    <t>Abianbase</t>
  </si>
  <si>
    <t>Muhammad Romdan Afandi</t>
  </si>
  <si>
    <t>Sakra</t>
  </si>
  <si>
    <t>Montong Sari, Sakra</t>
  </si>
  <si>
    <t>5203021802950003</t>
  </si>
  <si>
    <t>5203021910170006</t>
  </si>
  <si>
    <t>0002114512593</t>
  </si>
  <si>
    <t>18074334709</t>
  </si>
  <si>
    <t>087765326118</t>
  </si>
  <si>
    <t>afandyramdan@gmail.com</t>
  </si>
  <si>
    <t>Jl Mawar 3 no 73 Getap, Sandubaya, Mataram</t>
  </si>
  <si>
    <t>087865510017(istri)</t>
  </si>
  <si>
    <t>0316.1160</t>
  </si>
  <si>
    <t>1160</t>
  </si>
  <si>
    <t>CL01</t>
  </si>
  <si>
    <t>Moh. Zainul Hasan</t>
  </si>
  <si>
    <t>gerumpung</t>
  </si>
  <si>
    <t>Gerumpung, Lombok Timur</t>
  </si>
  <si>
    <t>5203012807960006</t>
  </si>
  <si>
    <t>085934612985</t>
  </si>
  <si>
    <t>Jl. Tukad Irawadi Gg. XXV No. 12X , Panjer</t>
  </si>
  <si>
    <t>I Komang Edi Pernata</t>
  </si>
  <si>
    <t>Pohsanten</t>
  </si>
  <si>
    <t>Br Rangdu, Pohsaten Mendoyo, Jembrana</t>
  </si>
  <si>
    <t>5101021110950003</t>
  </si>
  <si>
    <t>083119504276</t>
  </si>
  <si>
    <t>Jl. Teuku Umar</t>
  </si>
  <si>
    <t>Florianus Ansan</t>
  </si>
  <si>
    <t>Ngkiong</t>
  </si>
  <si>
    <t>Ngkiong Poco Ranaka Timur, manggarai Timur</t>
  </si>
  <si>
    <t>5319020108930002</t>
  </si>
  <si>
    <t>081353294782</t>
  </si>
  <si>
    <t>Jl. Kenyeri Gg Anggrek No. 17 Denpasar</t>
  </si>
  <si>
    <t>Asrul Abadi</t>
  </si>
  <si>
    <t>Dsn parastembok RT2 RW3, Jambewangi, Sempu Banyuwangi</t>
  </si>
  <si>
    <t>3510202604920001</t>
  </si>
  <si>
    <t>3510202409180005</t>
  </si>
  <si>
    <t>91.997.885.8-627.000</t>
  </si>
  <si>
    <t>0001577466652</t>
  </si>
  <si>
    <t>18065347157</t>
  </si>
  <si>
    <t>081232299621</t>
  </si>
  <si>
    <t>asrulabadi@outlook.com</t>
  </si>
  <si>
    <t>JL ADIPURA NO 40</t>
  </si>
  <si>
    <t>D3 Manajemen</t>
  </si>
  <si>
    <t>0416.1161</t>
  </si>
  <si>
    <t>1161</t>
  </si>
  <si>
    <t>CW19</t>
  </si>
  <si>
    <t xml:space="preserve">I Gede Wiria Jaya </t>
  </si>
  <si>
    <t>Amplapura</t>
  </si>
  <si>
    <t xml:space="preserve">Lingk Juuk Manis Karangasem </t>
  </si>
  <si>
    <t>920416240359</t>
  </si>
  <si>
    <t>087 845 670 921</t>
  </si>
  <si>
    <t>Jl. Padang Sambian Kelod</t>
  </si>
  <si>
    <t>Saudara (081 558 891 090)</t>
  </si>
  <si>
    <t>Kholifah</t>
  </si>
  <si>
    <t>Mojokerto</t>
  </si>
  <si>
    <t>Bugis Krajan, Saptorenggo pakis, Malang</t>
  </si>
  <si>
    <t>3576014903830002</t>
  </si>
  <si>
    <t>3507181901180003</t>
  </si>
  <si>
    <t>0002499108298</t>
  </si>
  <si>
    <t>19014360275</t>
  </si>
  <si>
    <t>kholifah.naisley@gmail.com</t>
  </si>
  <si>
    <t>Jl. Raya Sesetan Gg. Jalak Blok B No. 3</t>
  </si>
  <si>
    <t>0516.1163</t>
  </si>
  <si>
    <t>1163</t>
  </si>
  <si>
    <t>A.A Istri Dian Indra Sukmaningsih</t>
  </si>
  <si>
    <t>LINGK. Puri Agung Bangli, Kawan Bangli</t>
  </si>
  <si>
    <t>5106026305940007</t>
  </si>
  <si>
    <t>5106022308062923</t>
  </si>
  <si>
    <t>0002517165595</t>
  </si>
  <si>
    <t>18065347116</t>
  </si>
  <si>
    <t>08970868893</t>
  </si>
  <si>
    <t>junkdian6648@gmail.com</t>
  </si>
  <si>
    <t>Jl Batu Intan gang 16 no 4 pasekan batu bulan</t>
  </si>
  <si>
    <t>082147879619 (kakak)</t>
  </si>
  <si>
    <t>0516.1164</t>
  </si>
  <si>
    <t>1164</t>
  </si>
  <si>
    <t>Customer Service</t>
  </si>
  <si>
    <t>Ahmad Susiawan</t>
  </si>
  <si>
    <t>Situbondo</t>
  </si>
  <si>
    <t>Kp. Randu 002/002 Situbondo</t>
  </si>
  <si>
    <t>3512020606960006</t>
  </si>
  <si>
    <t>082302015612</t>
  </si>
  <si>
    <t>Jl. Mertasari Gg Merta Ayu No. 1 Kerobokan</t>
  </si>
  <si>
    <t>Ni Nyoman Erni</t>
  </si>
  <si>
    <t>Badung</t>
  </si>
  <si>
    <t>5103044601980004</t>
  </si>
  <si>
    <t>085 950 103 132</t>
  </si>
  <si>
    <t>Jl. Gunung Sahyang, Padang sambian</t>
  </si>
  <si>
    <t>Pacar (085 950 103 132)</t>
  </si>
  <si>
    <t>Ni Luh Gede Rustina Dewi</t>
  </si>
  <si>
    <t>Denpasar, Padang Sambian</t>
  </si>
  <si>
    <t>51710362003980017</t>
  </si>
  <si>
    <t>085 700 071 832</t>
  </si>
  <si>
    <t>Jl. Gunung Tangkuban Perahu, Br. Padang Sumbu Kaja, Denpasar Barat</t>
  </si>
  <si>
    <t>Orang tua (081 999 901 461)</t>
  </si>
  <si>
    <t>Erilastomo Rius Sinaga</t>
  </si>
  <si>
    <t>Dano Julu</t>
  </si>
  <si>
    <t>Jl. Raya Kerobokan Br Taman No. 5</t>
  </si>
  <si>
    <t>2101153103950001</t>
  </si>
  <si>
    <t>082387227469</t>
  </si>
  <si>
    <t>Agus Kusnaidi</t>
  </si>
  <si>
    <t>Jl. Sedap Malam C Kesiman</t>
  </si>
  <si>
    <t>5171020505980005</t>
  </si>
  <si>
    <t>085857407827</t>
  </si>
  <si>
    <t>Ni Wayan Aristiana Wati</t>
  </si>
  <si>
    <t>Jl Uluwatu no 11 Ubung Jimbaran, Kuta Selatan</t>
  </si>
  <si>
    <t>5171016503980003</t>
  </si>
  <si>
    <t>5103052312150001</t>
  </si>
  <si>
    <t>0001574996501</t>
  </si>
  <si>
    <t>19032174682</t>
  </si>
  <si>
    <t>081999061984</t>
  </si>
  <si>
    <t>aristianawati25@gmail.com</t>
  </si>
  <si>
    <t>Jln Uluwatu no 11 Jimbaran</t>
  </si>
  <si>
    <t>085738780378 (ibu)</t>
  </si>
  <si>
    <t>0616.1167</t>
  </si>
  <si>
    <t>1167</t>
  </si>
  <si>
    <t>Guntur Naro Guntala</t>
  </si>
  <si>
    <t>ainaro</t>
  </si>
  <si>
    <t>Jl. Gunung Merapi Gg. 1 No. 17</t>
  </si>
  <si>
    <t>085792525227</t>
  </si>
  <si>
    <t>Purnomo</t>
  </si>
  <si>
    <t>banyuwangi</t>
  </si>
  <si>
    <t>Sumbermulyo, tegaldlimo Banyuwangi</t>
  </si>
  <si>
    <t>3510040112780006</t>
  </si>
  <si>
    <t>082247244971</t>
  </si>
  <si>
    <t>Jl. Merpati Gg Mangga No I Monang-maning</t>
  </si>
  <si>
    <t>Komang Irawan Wijaya</t>
  </si>
  <si>
    <t>Belitang</t>
  </si>
  <si>
    <t>Jl. Raya sesetan No. 4 Denpasar</t>
  </si>
  <si>
    <t>1602130303931003</t>
  </si>
  <si>
    <t>085273030234</t>
  </si>
  <si>
    <t>Ni Nyoman Ayu Mita</t>
  </si>
  <si>
    <t>gumbrih</t>
  </si>
  <si>
    <t>Br pasar, gumbrih Jembrana</t>
  </si>
  <si>
    <t>5101034108970002</t>
  </si>
  <si>
    <t>085737089687</t>
  </si>
  <si>
    <t>Jl. Cokrominoto Gg. Swari C No. 8D</t>
  </si>
  <si>
    <t>Ni Putu Deliana Nurati</t>
  </si>
  <si>
    <t>Gumbrih, Pakutatan Jembrana</t>
  </si>
  <si>
    <t>51010345129270002</t>
  </si>
  <si>
    <t>085 847 593 580</t>
  </si>
  <si>
    <t>Jl. Flamboyan No.9 Kampung Kodok Dauh Peken Tabanan</t>
  </si>
  <si>
    <t>Bibik (082 144 358 890)</t>
  </si>
  <si>
    <t>Arman Jaya Zendrato</t>
  </si>
  <si>
    <t>fadoro</t>
  </si>
  <si>
    <t>Jl. Pulau saelus no. 19 B</t>
  </si>
  <si>
    <t>1204132208930001</t>
  </si>
  <si>
    <t>085338217736</t>
  </si>
  <si>
    <t>I Made Ardana</t>
  </si>
  <si>
    <t xml:space="preserve">Kaliakah </t>
  </si>
  <si>
    <t>Banjar Peh , Kaliakah , Negara</t>
  </si>
  <si>
    <t>5101010305950007</t>
  </si>
  <si>
    <t>5101011105090015</t>
  </si>
  <si>
    <t>0002108537651</t>
  </si>
  <si>
    <t>085737302738</t>
  </si>
  <si>
    <t>dekano05@gmail.com</t>
  </si>
  <si>
    <t>JL. Gunung Guntur GG. Maradadi II</t>
  </si>
  <si>
    <t>SMK / Pertanian</t>
  </si>
  <si>
    <t>087762654557</t>
  </si>
  <si>
    <t>0616.1169</t>
  </si>
  <si>
    <t>1169</t>
  </si>
  <si>
    <t xml:space="preserve"> Wakil Supervisor</t>
  </si>
  <si>
    <t>Faridz</t>
  </si>
  <si>
    <t>Nico Arif Hartanto</t>
  </si>
  <si>
    <t>081916452977</t>
  </si>
  <si>
    <t>Dewa Gede Dodi Ariawan</t>
  </si>
  <si>
    <t>bongacina</t>
  </si>
  <si>
    <t>Jl. Tunjung sari, Gg Merak, Padangsambian</t>
  </si>
  <si>
    <t>5108030411940001</t>
  </si>
  <si>
    <t>083119338489</t>
  </si>
  <si>
    <t>Br. Dinas bongacina, Buleleng</t>
  </si>
  <si>
    <t>Rini Idayanti</t>
  </si>
  <si>
    <t>Dusun Curah Manis</t>
  </si>
  <si>
    <t>3509305910980003</t>
  </si>
  <si>
    <t>3509301804110214</t>
  </si>
  <si>
    <t>0002662392609</t>
  </si>
  <si>
    <t>18065347108</t>
  </si>
  <si>
    <t>087860631584</t>
  </si>
  <si>
    <t>riniidayanti10@gmail.com</t>
  </si>
  <si>
    <t>jl gunung talang no 64 buana indah padang sambian</t>
  </si>
  <si>
    <t>MA IPS</t>
  </si>
  <si>
    <t>087761374036 (bapak)</t>
  </si>
  <si>
    <t>0716.1170</t>
  </si>
  <si>
    <t>1170</t>
  </si>
  <si>
    <t>Kadek Putra Adnyana</t>
  </si>
  <si>
    <t>Tinga-tinga</t>
  </si>
  <si>
    <t>Bd. Mertasari, Buleleng</t>
  </si>
  <si>
    <t>5108010804940003</t>
  </si>
  <si>
    <t>087936626002</t>
  </si>
  <si>
    <t>Br Kesambi, Kerobokan</t>
  </si>
  <si>
    <t>Ita Agustin Widia Wati</t>
  </si>
  <si>
    <t>087 865 730 731</t>
  </si>
  <si>
    <t>Jl. Raya Canggu Banjar Gede</t>
  </si>
  <si>
    <t>Suami (081 515 850 850)</t>
  </si>
  <si>
    <t>I Komang Ariana</t>
  </si>
  <si>
    <t>Sangkan Gunung</t>
  </si>
  <si>
    <t>Br Dinas Sangkan Gunung, Sidemen</t>
  </si>
  <si>
    <t>5107020107920021</t>
  </si>
  <si>
    <t>5107022610090349</t>
  </si>
  <si>
    <t>0002112298435</t>
  </si>
  <si>
    <t>19014360432</t>
  </si>
  <si>
    <t>085739712228</t>
  </si>
  <si>
    <t>kmg.ariana92@gmail.com</t>
  </si>
  <si>
    <t>br muding kelod gg rama</t>
  </si>
  <si>
    <t>S1</t>
  </si>
  <si>
    <t>087860925425(winda)</t>
  </si>
  <si>
    <t>0716.1172</t>
  </si>
  <si>
    <t>1172</t>
  </si>
  <si>
    <t>Muhammad Arifin</t>
  </si>
  <si>
    <t>situbondo</t>
  </si>
  <si>
    <t>Selowogo, Bungatan RT 004/ RW 008</t>
  </si>
  <si>
    <t>3512171202960002</t>
  </si>
  <si>
    <t>085 337 891 105</t>
  </si>
  <si>
    <t>Jl. Mertasari Gang Merta Ayu No. 1</t>
  </si>
  <si>
    <t>Teman (081 927 351 500)</t>
  </si>
  <si>
    <t>Adrianus Jalik</t>
  </si>
  <si>
    <t>Kemus</t>
  </si>
  <si>
    <t>Kemus NTT</t>
  </si>
  <si>
    <t>861016182715</t>
  </si>
  <si>
    <t>z</t>
  </si>
  <si>
    <t>Jl. P Roon GG Dewa No 4 Dps</t>
  </si>
  <si>
    <t>Fredy Aryadi</t>
  </si>
  <si>
    <t xml:space="preserve"> Jl Waturenggong Gg Pasar No 3</t>
  </si>
  <si>
    <t>5171032502890017</t>
  </si>
  <si>
    <t>5171030803100003</t>
  </si>
  <si>
    <t>19014360267</t>
  </si>
  <si>
    <t>0895370002194</t>
  </si>
  <si>
    <t>fredyaryadi14@gmail.com</t>
  </si>
  <si>
    <t>Jl. Tukad banyu poh no 18X</t>
  </si>
  <si>
    <t>083114541118</t>
  </si>
  <si>
    <t>0816.1174</t>
  </si>
  <si>
    <t>1174</t>
  </si>
  <si>
    <t>CW18</t>
  </si>
  <si>
    <t>Salsabilla</t>
  </si>
  <si>
    <t>mataram</t>
  </si>
  <si>
    <t>Dalung Permai Blok B No. 59</t>
  </si>
  <si>
    <t>5103064810970005</t>
  </si>
  <si>
    <t>083119825050</t>
  </si>
  <si>
    <t xml:space="preserve">Angelinus S. Aron </t>
  </si>
  <si>
    <t>kipo</t>
  </si>
  <si>
    <t xml:space="preserve"> 12-12-1996</t>
  </si>
  <si>
    <t>Lembur, Kota Komba RT 007/ RW 008</t>
  </si>
  <si>
    <t>5319061212960001</t>
  </si>
  <si>
    <t>082340541194</t>
  </si>
  <si>
    <t>Jl. Gunung Guntur Gang Pandawa No. 12</t>
  </si>
  <si>
    <t>I Gusti Ayu Putu Sintya Dewi</t>
  </si>
  <si>
    <t>jagapati</t>
  </si>
  <si>
    <t>Jagapati, Penatih</t>
  </si>
  <si>
    <t>5103037005980005</t>
  </si>
  <si>
    <t>Jl. Tukad Banyupoh</t>
  </si>
  <si>
    <t>Muhammad Abdul Aziz</t>
  </si>
  <si>
    <t xml:space="preserve">Dusun Wetan Kali RT2RW3, Balunglor, Balung </t>
  </si>
  <si>
    <t>3509100803980003</t>
  </si>
  <si>
    <t>19080964513</t>
  </si>
  <si>
    <t>087850001221</t>
  </si>
  <si>
    <t>cilokbakar33@gmail.com</t>
  </si>
  <si>
    <t>Jl Pulau Biak no 9</t>
  </si>
  <si>
    <t>SMK Otomotif</t>
  </si>
  <si>
    <t>085233461829 (Kakak)</t>
  </si>
  <si>
    <t>0816.1176</t>
  </si>
  <si>
    <t>1176</t>
  </si>
  <si>
    <t>Nia Ruliantari</t>
  </si>
  <si>
    <t>Jl siliwangi18-213, Jururejo ngawi</t>
  </si>
  <si>
    <t>3578134703810001</t>
  </si>
  <si>
    <t>3521090809170003</t>
  </si>
  <si>
    <t>0002310932349</t>
  </si>
  <si>
    <t>18084959602</t>
  </si>
  <si>
    <t>082141388800</t>
  </si>
  <si>
    <t>niearuliantari@gmail.com</t>
  </si>
  <si>
    <t>jl glogor indah 1 b gg yudistira</t>
  </si>
  <si>
    <t>085792718379(suami)</t>
  </si>
  <si>
    <t>0816.1177</t>
  </si>
  <si>
    <t>1177</t>
  </si>
  <si>
    <t xml:space="preserve">Hisnia Sari </t>
  </si>
  <si>
    <t>Tanjung</t>
  </si>
  <si>
    <t>Desa Mabuun, Kecamatan Murung Pudak RT 005/ RW 002</t>
  </si>
  <si>
    <t>6309065306880004</t>
  </si>
  <si>
    <t>08115517000</t>
  </si>
  <si>
    <t>Jl. Tangkuban Perahu Gang Lestari No. 55</t>
  </si>
  <si>
    <t>Putu Bagus Andi Saputra</t>
  </si>
  <si>
    <t>kaisuda</t>
  </si>
  <si>
    <t>Desa Kalisada, Kecamatan Seririt, Buleleng</t>
  </si>
  <si>
    <t>5108021912930002</t>
  </si>
  <si>
    <t>085792211993</t>
  </si>
  <si>
    <t>Ni Nyoman Tri Marheni Wulandari</t>
  </si>
  <si>
    <t>denpasar</t>
  </si>
  <si>
    <t>Jl. Sri Rama No. 19, Denpasar Utara</t>
  </si>
  <si>
    <t>5171044503940003</t>
  </si>
  <si>
    <t>087 804 840 070</t>
  </si>
  <si>
    <t>Jl. Dewata 1 No. 9, Sidakarya, Denpasar Selatan</t>
  </si>
  <si>
    <t>Suami (081 237 576 553)</t>
  </si>
  <si>
    <t>Ni Luh Komang Tri Adnyani</t>
  </si>
  <si>
    <t>Jempeng</t>
  </si>
  <si>
    <t>JL. RAYA PEMOGAN GG SAWAH NO 2 JABAJATI</t>
  </si>
  <si>
    <t>5103036505940001</t>
  </si>
  <si>
    <t>5171012806180008</t>
  </si>
  <si>
    <t>0001578809283</t>
  </si>
  <si>
    <t>18074334683</t>
  </si>
  <si>
    <t>087754688028</t>
  </si>
  <si>
    <t>triadnyani95@gmail.com</t>
  </si>
  <si>
    <t xml:space="preserve">jl raya pemogan no 2 </t>
  </si>
  <si>
    <t>SMK tat boga</t>
  </si>
  <si>
    <t>087888037157 saudara</t>
  </si>
  <si>
    <t>0816.1179</t>
  </si>
  <si>
    <t>1179</t>
  </si>
  <si>
    <t>Ni Kadek Wulandari</t>
  </si>
  <si>
    <t>Jln. Cokroaminoto Gang Sakura No. 6, Ubung</t>
  </si>
  <si>
    <t>5171044805940001</t>
  </si>
  <si>
    <t>0001972018585</t>
  </si>
  <si>
    <t>18074334725</t>
  </si>
  <si>
    <t>082237606800</t>
  </si>
  <si>
    <t>kd.wulandari@yahoo.com</t>
  </si>
  <si>
    <t>Jl Cokroaminoto GG Melur no 9 Ubung,Denpasar Utara</t>
  </si>
  <si>
    <t>S1 Psikologi</t>
  </si>
  <si>
    <t>085100968213(bapak)</t>
  </si>
  <si>
    <t>0916.1180</t>
  </si>
  <si>
    <t>1180</t>
  </si>
  <si>
    <t>Asisten Direktur</t>
  </si>
  <si>
    <t>Juddy Handojo</t>
  </si>
  <si>
    <t>Jombang,</t>
  </si>
  <si>
    <t>081999527857</t>
  </si>
  <si>
    <t>Jln. Kediri Gang Ksatria I/10</t>
  </si>
  <si>
    <t>Bayu Purnomo</t>
  </si>
  <si>
    <t>JL tukad banyusari, tegalsari panjer</t>
  </si>
  <si>
    <t>5171010507930005</t>
  </si>
  <si>
    <t>5171011001080011</t>
  </si>
  <si>
    <t>0000827524225</t>
  </si>
  <si>
    <t>19080964687</t>
  </si>
  <si>
    <t>081338991474</t>
  </si>
  <si>
    <t>bayoemartis@gmail.com</t>
  </si>
  <si>
    <t>jl raya sesetan gg perkutut no 1</t>
  </si>
  <si>
    <t>082340865668 ibu</t>
  </si>
  <si>
    <t>0916.1181</t>
  </si>
  <si>
    <t>1181</t>
  </si>
  <si>
    <t>Checker</t>
  </si>
  <si>
    <t>Sugeng Candra Pangestu</t>
  </si>
  <si>
    <t>Jalan Nusa Kambangan Gg.Cempaka/10 , Dauh Puri Kauh , Denpasar Barat</t>
  </si>
  <si>
    <t>5171030202960001</t>
  </si>
  <si>
    <t>5171032206070312</t>
  </si>
  <si>
    <t>70.350.620.4-901.000</t>
  </si>
  <si>
    <t>0000827831349</t>
  </si>
  <si>
    <t>19032174690</t>
  </si>
  <si>
    <t>081558839931</t>
  </si>
  <si>
    <t>sugengcp4@gmail.com</t>
  </si>
  <si>
    <t>Jl. Nusakambangan Gg.32</t>
  </si>
  <si>
    <t>S1 / Akuntansi</t>
  </si>
  <si>
    <t>082234491899</t>
  </si>
  <si>
    <t>0916.1182</t>
  </si>
  <si>
    <t>1182</t>
  </si>
  <si>
    <t>I Kadek Adi Ariawan</t>
  </si>
  <si>
    <t>Manistutu</t>
  </si>
  <si>
    <t>085792399128</t>
  </si>
  <si>
    <t>Br. Batan Duren Desa Cepaka, Tabanan</t>
  </si>
  <si>
    <t>Hariboas Ardian Sitohang</t>
  </si>
  <si>
    <t>tebing tinggi</t>
  </si>
  <si>
    <t>Dusun VI Dsa Blok 10, Dolok /Masihul</t>
  </si>
  <si>
    <t>1218091408920007</t>
  </si>
  <si>
    <t>082160127885</t>
  </si>
  <si>
    <t>Jln. Imam Bonjol Gang Mangga No. 20</t>
  </si>
  <si>
    <t>Dedi Achadi</t>
  </si>
  <si>
    <t>indramayu</t>
  </si>
  <si>
    <t>085 259 352 303</t>
  </si>
  <si>
    <t>Jl. Teuku Umar barat gg Marlboro XIII Denbar</t>
  </si>
  <si>
    <t>Istri (085 239 981 983)</t>
  </si>
  <si>
    <t>I Komang Widiadnya</t>
  </si>
  <si>
    <t>Klungkung</t>
  </si>
  <si>
    <t>Dusun Kangin Desa Kangin</t>
  </si>
  <si>
    <t>5105022408900001</t>
  </si>
  <si>
    <t>081558435095</t>
  </si>
  <si>
    <t>Jln. Gunung Agung, no. 999 Z</t>
  </si>
  <si>
    <t>Adrianus Arianto</t>
  </si>
  <si>
    <t>kasama</t>
  </si>
  <si>
    <t>Kasama, RT 012/RT 004, Wali, Langke Rembong</t>
  </si>
  <si>
    <t>5310122904941001</t>
  </si>
  <si>
    <t>082 340 584 775</t>
  </si>
  <si>
    <t>Jl. Tukad Petanu No.3</t>
  </si>
  <si>
    <t>Saudara (081337692143)</t>
  </si>
  <si>
    <t>I Made Ariawan</t>
  </si>
  <si>
    <t>Tusan</t>
  </si>
  <si>
    <t>Desa tusan kecamatan banjarangkan, klungkung</t>
  </si>
  <si>
    <t>5105020202910002</t>
  </si>
  <si>
    <t>0002111296937</t>
  </si>
  <si>
    <t>20038182158</t>
  </si>
  <si>
    <t>087734817117</t>
  </si>
  <si>
    <t>madeariawan396@gmail.com</t>
  </si>
  <si>
    <t>br tusan banjarangkan</t>
  </si>
  <si>
    <t>SMA PGRI</t>
  </si>
  <si>
    <t>081547629871 adik</t>
  </si>
  <si>
    <t>1016.1185</t>
  </si>
  <si>
    <t>1185</t>
  </si>
  <si>
    <t>I Komang Panji Surya Ardika</t>
  </si>
  <si>
    <t>mendoyo</t>
  </si>
  <si>
    <t>Mendoyo, Jembrana, Bali</t>
  </si>
  <si>
    <t>5101021809960003</t>
  </si>
  <si>
    <t>085646904003</t>
  </si>
  <si>
    <t>Gede Agus Surya Arta</t>
  </si>
  <si>
    <t>Singaraja</t>
  </si>
  <si>
    <t>Jl Ceroring GG4, Dangin Puri Denpasar</t>
  </si>
  <si>
    <t>5171021208950006</t>
  </si>
  <si>
    <t>5171022107070416</t>
  </si>
  <si>
    <t>0001400747736</t>
  </si>
  <si>
    <t>19022700454</t>
  </si>
  <si>
    <t>08980162304</t>
  </si>
  <si>
    <t>agussuryaarta@gmail.com</t>
  </si>
  <si>
    <t>Jl ceroring gg4 DPS</t>
  </si>
  <si>
    <t>087855543664</t>
  </si>
  <si>
    <t>1016.1187</t>
  </si>
  <si>
    <t>1187</t>
  </si>
  <si>
    <t>IT &amp; Adprom</t>
  </si>
  <si>
    <t>I Made Sulastra</t>
  </si>
  <si>
    <t>Suana</t>
  </si>
  <si>
    <t>Suana, Nusa Penida</t>
  </si>
  <si>
    <t>5105011102930001</t>
  </si>
  <si>
    <t>081238392913</t>
  </si>
  <si>
    <t>jl. Ken Arok</t>
  </si>
  <si>
    <t>Aldri Nurdiawan</t>
  </si>
  <si>
    <t>bandung</t>
  </si>
  <si>
    <t>Puri Bhayangkara Elok A15-2</t>
  </si>
  <si>
    <t>3211111909900004</t>
  </si>
  <si>
    <t>081573965698</t>
  </si>
  <si>
    <t xml:space="preserve">Jl. Kecubung Gang Pudak No. 5 Br. Lebah </t>
  </si>
  <si>
    <t>Angga Dwi Yulianto</t>
  </si>
  <si>
    <t>mojokerto</t>
  </si>
  <si>
    <t>Jl. Batur Sari Gang 4 No 4a Sanur</t>
  </si>
  <si>
    <t>5171012904980001</t>
  </si>
  <si>
    <t>089 676 076 871</t>
  </si>
  <si>
    <t>Jl. Batur Sari Gang 4 No 4A Sanur</t>
  </si>
  <si>
    <t>Kakak (081 916 669 524)</t>
  </si>
  <si>
    <t>Ni Nyoman Trysedewi  Mahaputri</t>
  </si>
  <si>
    <t>kupang</t>
  </si>
  <si>
    <t>Ling. Kaja Kauh, Desa Beng, Gianyar</t>
  </si>
  <si>
    <t>5104035602950000</t>
  </si>
  <si>
    <t>082247031419</t>
  </si>
  <si>
    <t>Jl. Tukad Pulet No 22 Panjer</t>
  </si>
  <si>
    <t>I Kadek Wahyu Kusuma Wijaya</t>
  </si>
  <si>
    <t>5101011608940009</t>
  </si>
  <si>
    <t>081916199195</t>
  </si>
  <si>
    <t>Padang Sambian</t>
  </si>
  <si>
    <t>Faisol Fanani</t>
  </si>
  <si>
    <t>Dusun Krajan II, RT03 RW05, Desa Karangduren Kec Balung</t>
  </si>
  <si>
    <t>3509102612950001</t>
  </si>
  <si>
    <t>3509102604110104</t>
  </si>
  <si>
    <t>19080964554</t>
  </si>
  <si>
    <t>08990353957</t>
  </si>
  <si>
    <t>fananifaisal36@gmail.com</t>
  </si>
  <si>
    <t>Jln Pulau Ayu gang 1</t>
  </si>
  <si>
    <t>081229559976</t>
  </si>
  <si>
    <t>1016.1188</t>
  </si>
  <si>
    <t>1188</t>
  </si>
  <si>
    <t>Abdi Wahab</t>
  </si>
  <si>
    <t>Dusun Wadung Kamidin RT 06/ RW 01, Glenmore, Banyuwangi</t>
  </si>
  <si>
    <t>3510101105890006</t>
  </si>
  <si>
    <t>082232224156</t>
  </si>
  <si>
    <t>Pulau Bungin</t>
  </si>
  <si>
    <t>M. Fathor Rosyi</t>
  </si>
  <si>
    <t>Dusun Wadung Kamidin RT 06/ RW 02, Glenmore, Banyuwangi</t>
  </si>
  <si>
    <t>3510100805890001</t>
  </si>
  <si>
    <t>082232224788</t>
  </si>
  <si>
    <t>Pulau Bungin, Br. Pitek, Pedungan</t>
  </si>
  <si>
    <t>Ni Made Febby Cahyaningsih</t>
  </si>
  <si>
    <t>Br Delod Yeh kekeran Mengwi, badung</t>
  </si>
  <si>
    <t>5103026202940004</t>
  </si>
  <si>
    <t>5103022110060056</t>
  </si>
  <si>
    <t>0001582680611</t>
  </si>
  <si>
    <t>19014360317</t>
  </si>
  <si>
    <t>082237225376</t>
  </si>
  <si>
    <t>febby1822@gmail.com</t>
  </si>
  <si>
    <t>br delod yeh kekeran, Mengwi</t>
  </si>
  <si>
    <t>085100941959 (ayah)</t>
  </si>
  <si>
    <t>1016.1189</t>
  </si>
  <si>
    <t>1189</t>
  </si>
  <si>
    <t>I Kadek Susanto</t>
  </si>
  <si>
    <t>Pekutatan</t>
  </si>
  <si>
    <t>Banjar Swastika, pangyangan, pekutatan</t>
  </si>
  <si>
    <t>5101032610910001</t>
  </si>
  <si>
    <t>5101032904090418</t>
  </si>
  <si>
    <t>19007166986</t>
  </si>
  <si>
    <t>081939329938</t>
  </si>
  <si>
    <t>kadeksanta91@gmail.com</t>
  </si>
  <si>
    <t>jl padag luwihno 56</t>
  </si>
  <si>
    <t>081907516979 istri</t>
  </si>
  <si>
    <t>1016.1190</t>
  </si>
  <si>
    <t>1190</t>
  </si>
  <si>
    <t>Agus Mahayasa</t>
  </si>
  <si>
    <t>Jln. Cokroaminoto Gang Suli No. 1, Ubung</t>
  </si>
  <si>
    <t>5171040108950006</t>
  </si>
  <si>
    <t>081 999 414 629</t>
  </si>
  <si>
    <t>Orangtua (081 338 176 775)</t>
  </si>
  <si>
    <t>Refo Junior Farigia</t>
  </si>
  <si>
    <t>jl pidada IX No. 18 Denpasar</t>
  </si>
  <si>
    <t>5171040906990006</t>
  </si>
  <si>
    <t>089 709 763 22</t>
  </si>
  <si>
    <t>Jl. Gunung Andakasa Gang Cempaka I/9</t>
  </si>
  <si>
    <t>Orang tua (082 339 904 828)</t>
  </si>
  <si>
    <t>Yohanes Jefri K. Aga</t>
  </si>
  <si>
    <t>Ndondo</t>
  </si>
  <si>
    <t>KP Gebang RT 03/05, Uwung Jaya Cibodas, Tangerang</t>
  </si>
  <si>
    <t>081236841129</t>
  </si>
  <si>
    <t>Jln. Teuku Umar Barat, Gg. Persada No.44</t>
  </si>
  <si>
    <t>I Made Angga Apriliawan</t>
  </si>
  <si>
    <t>Negare</t>
  </si>
  <si>
    <t>Banjar Kaliakah, Kec. Negare, Kab. Jembrana</t>
  </si>
  <si>
    <t>5101012204970008</t>
  </si>
  <si>
    <t>085738485819</t>
  </si>
  <si>
    <t>I Gusti Ngurah Ari Swarna Putra</t>
  </si>
  <si>
    <t>Banjar Berangbang</t>
  </si>
  <si>
    <t>5101010302960005</t>
  </si>
  <si>
    <t>089 536 040 5109</t>
  </si>
  <si>
    <t>Jl. Gunung Patas, Gg. V Padang Sambian Kelod</t>
  </si>
  <si>
    <t>Sahabat (082 237 771 140)</t>
  </si>
  <si>
    <t>Patrisius B. Batus</t>
  </si>
  <si>
    <t>Poka</t>
  </si>
  <si>
    <t>Jl. Setiabudi No.25, Kota Badung</t>
  </si>
  <si>
    <t>085338205424</t>
  </si>
  <si>
    <t>Januari</t>
  </si>
  <si>
    <t>I Wayan Ade Suartana Gunawan</t>
  </si>
  <si>
    <t>Br pasek Jagapati Abiansemal</t>
  </si>
  <si>
    <t>5103031803980006</t>
  </si>
  <si>
    <t>5103030803100125</t>
  </si>
  <si>
    <t>19022700447</t>
  </si>
  <si>
    <t>087761437880</t>
  </si>
  <si>
    <t>adesuartana18@gmail.com</t>
  </si>
  <si>
    <t>Br pasek jayapati</t>
  </si>
  <si>
    <t>081246744118</t>
  </si>
  <si>
    <t>1116.1194</t>
  </si>
  <si>
    <t>1194</t>
  </si>
  <si>
    <t xml:space="preserve">Desak Gede Ariniasih </t>
  </si>
  <si>
    <t>Bongancina</t>
  </si>
  <si>
    <t>Jl. Gunung Agung Gang Indus No. 34 B</t>
  </si>
  <si>
    <t>5108034904930001</t>
  </si>
  <si>
    <t>081246972682</t>
  </si>
  <si>
    <t>Banjar Dinas Pangkung Kunyit</t>
  </si>
  <si>
    <t>Gusti Komang Jelimiasa</t>
  </si>
  <si>
    <t>Negare, Banjar Kepuh, Mendoyo Dauh Tukad</t>
  </si>
  <si>
    <t>5101023012970010</t>
  </si>
  <si>
    <t>085 953 874 825</t>
  </si>
  <si>
    <t>Padangsambian kelod</t>
  </si>
  <si>
    <t>Adik (087 860 909 398)</t>
  </si>
  <si>
    <t>Ni Putu Laksmi Purna Wijayanti</t>
  </si>
  <si>
    <t>Denbantas</t>
  </si>
  <si>
    <t>Banjar Denbantas, Tabanan</t>
  </si>
  <si>
    <t>5102056508940001</t>
  </si>
  <si>
    <t>5102052705190004</t>
  </si>
  <si>
    <t>0000820604676</t>
  </si>
  <si>
    <t>19014360333</t>
  </si>
  <si>
    <t>081999131079</t>
  </si>
  <si>
    <t>laksmipurnawijayanti@gmail.com</t>
  </si>
  <si>
    <t>Br Denbantas, Desa Denbantas</t>
  </si>
  <si>
    <t>081997703715(SUAMI)</t>
  </si>
  <si>
    <t>0117.1196</t>
  </si>
  <si>
    <t>1196</t>
  </si>
  <si>
    <t>Luh Putri Wardani</t>
  </si>
  <si>
    <t>Menyali</t>
  </si>
  <si>
    <t>Banjar Dinas Kanginan, Ds. Menyali, Kec. Sawan</t>
  </si>
  <si>
    <t>5108076803980001</t>
  </si>
  <si>
    <t>081 916 406 401</t>
  </si>
  <si>
    <t>Jl. Gunung Lumut Perum. Permata Hijau Gang I No. 5B</t>
  </si>
  <si>
    <t>Suami (082 247 560 115)</t>
  </si>
  <si>
    <t>Novia Rizky Arastya</t>
  </si>
  <si>
    <t>Semarang</t>
  </si>
  <si>
    <t>Tanjungmas, Semarang Utara</t>
  </si>
  <si>
    <t>3374026511960003</t>
  </si>
  <si>
    <t>089527574599</t>
  </si>
  <si>
    <t>Jl. Tukad Buaji Gg. Tegalsari No.08</t>
  </si>
  <si>
    <t xml:space="preserve">Ni Putu Ida Febriyanti </t>
  </si>
  <si>
    <t>Br. Cemenggon, Ds. Penarungan, Mengwi Badung Bali</t>
  </si>
  <si>
    <t>5103064402980006</t>
  </si>
  <si>
    <t>081 916 278 605</t>
  </si>
  <si>
    <t>Jl. Pusparesti Br. Cemenggon Ds. Penarungan, Mengwi Badung Bali</t>
  </si>
  <si>
    <t>Orang tua (081 999 686 647)</t>
  </si>
  <si>
    <t>I Made Waliana</t>
  </si>
  <si>
    <t>Link. Br Cempaga, Kel. Cempaga, Kec/Kab Bangli</t>
  </si>
  <si>
    <t>5106021411910000</t>
  </si>
  <si>
    <t>081529117020</t>
  </si>
  <si>
    <t>Anif Nudiansyah</t>
  </si>
  <si>
    <t>Bnayuwangi</t>
  </si>
  <si>
    <t>Dusu Kampung Baru</t>
  </si>
  <si>
    <t>3510072706910002</t>
  </si>
  <si>
    <t>083119618100</t>
  </si>
  <si>
    <t>Jln. Gunung Karang II Gang V No. 12</t>
  </si>
  <si>
    <t>I Putu Suartana</t>
  </si>
  <si>
    <t>Jl. Werkudara Gg. II No.9, Denpasar Utara</t>
  </si>
  <si>
    <t>5171042511960001</t>
  </si>
  <si>
    <t>0000827700276</t>
  </si>
  <si>
    <t>19072120322</t>
  </si>
  <si>
    <t>putusuartana07@gmail.com</t>
  </si>
  <si>
    <t>jl werkudara gg 2 no 9 denpasar utara</t>
  </si>
  <si>
    <t>0217.1199</t>
  </si>
  <si>
    <t>1199</t>
  </si>
  <si>
    <t>CW04</t>
  </si>
  <si>
    <t>Misbahul Munir</t>
  </si>
  <si>
    <t xml:space="preserve">Dusun Kedungsuko, Bangsal Sari </t>
  </si>
  <si>
    <t>3509090303920005</t>
  </si>
  <si>
    <t>082310959375</t>
  </si>
  <si>
    <t>Jl. Bung Tomo</t>
  </si>
  <si>
    <t>Kadek Oky Oktaviani</t>
  </si>
  <si>
    <t>Br. Lebak, Dalung, Kuta Utara</t>
  </si>
  <si>
    <t>5103066510960004</t>
  </si>
  <si>
    <t>085737388096</t>
  </si>
  <si>
    <t>Achmad Azhar Firdaus</t>
  </si>
  <si>
    <t>sumenep</t>
  </si>
  <si>
    <t>Kmp Mandar, Sapeken</t>
  </si>
  <si>
    <t>3529250908940001</t>
  </si>
  <si>
    <t>081 238 929 645</t>
  </si>
  <si>
    <t>Jl. Tukad Petanu Gg Perkutut Densel</t>
  </si>
  <si>
    <t>Pacar (085 231 289 681)</t>
  </si>
  <si>
    <t>Munaam</t>
  </si>
  <si>
    <t>Repok Katok</t>
  </si>
  <si>
    <t>Repok Katok, Pijot Utara Keruak, Lombok</t>
  </si>
  <si>
    <t>5203010510820002</t>
  </si>
  <si>
    <t>5203013110110046</t>
  </si>
  <si>
    <t>087754453039</t>
  </si>
  <si>
    <t>alfanddowank@gmail.com</t>
  </si>
  <si>
    <t>Jln By Pass Ngurah Rai tmn Ayodya</t>
  </si>
  <si>
    <t>SMU</t>
  </si>
  <si>
    <t>087754453033 (istri)</t>
  </si>
  <si>
    <t>0217.1201</t>
  </si>
  <si>
    <t>1201</t>
  </si>
  <si>
    <t>CW09</t>
  </si>
  <si>
    <t>Ni Komang Rina Adryanti</t>
  </si>
  <si>
    <t>Jln. Kecubung Gg. Soka No 32 A</t>
  </si>
  <si>
    <t>5171024501960001</t>
  </si>
  <si>
    <t>082341250500</t>
  </si>
  <si>
    <t>Jln. Kembang Matahari 1 No.22</t>
  </si>
  <si>
    <t>Azhari Maryanto</t>
  </si>
  <si>
    <t>kotabumi</t>
  </si>
  <si>
    <t>Jln. HM Thohir, Kotabumi Tengah</t>
  </si>
  <si>
    <t>1803022505950007</t>
  </si>
  <si>
    <t>082147409456</t>
  </si>
  <si>
    <t>Jln. Kori Nuansa</t>
  </si>
  <si>
    <t>Hilda Dwi Nurrohmadhani</t>
  </si>
  <si>
    <t>Dusun Gondang Rejo, Cakru, Renjong</t>
  </si>
  <si>
    <t>3509024201960001</t>
  </si>
  <si>
    <t>082144187951</t>
  </si>
  <si>
    <t>Jl. By Pass Ngurah Rai 8x/Tegal, Jimbaran</t>
  </si>
  <si>
    <t>I Putu Sunantara</t>
  </si>
  <si>
    <t>Br. Dalem, Angantaka</t>
  </si>
  <si>
    <t>5103030209970005</t>
  </si>
  <si>
    <t>089 739 366 37</t>
  </si>
  <si>
    <t>Orang Tua (089 701 366 30)</t>
  </si>
  <si>
    <t>Nur Hajab Catur Sasongko</t>
  </si>
  <si>
    <t>purworejo</t>
  </si>
  <si>
    <t>Tambakrejo RT 02 RW 07 Purworejo</t>
  </si>
  <si>
    <t>082313066113</t>
  </si>
  <si>
    <t>Jl. Pulau Belitung Babakan Sari IV C Gg. Manggis No. 10</t>
  </si>
  <si>
    <t>Johanes Ari Agung Seno Sinduro</t>
  </si>
  <si>
    <t>Jl.Tukad Melangit 14 No. 9XY , Celuk</t>
  </si>
  <si>
    <t>5171011608760002</t>
  </si>
  <si>
    <t>5171010305070005</t>
  </si>
  <si>
    <t>84.501.101.4-903.000</t>
  </si>
  <si>
    <t>0001845468011</t>
  </si>
  <si>
    <t>18000216228</t>
  </si>
  <si>
    <t>081558233106</t>
  </si>
  <si>
    <t>agungseno69@gmail.com</t>
  </si>
  <si>
    <t>Jl.Tukad Melangit 14 No. 9x4 Denpasar</t>
  </si>
  <si>
    <t>S1 (Teknik Sipil)</t>
  </si>
  <si>
    <t>082247049525</t>
  </si>
  <si>
    <t>0217.1203</t>
  </si>
  <si>
    <t>1203</t>
  </si>
  <si>
    <t>GA</t>
  </si>
  <si>
    <t>I Gede Wahyu Adiatmika</t>
  </si>
  <si>
    <t>dukuh pulu tengah</t>
  </si>
  <si>
    <t>Desa Dukuh Pulu Tengah, Kec. Selemadeg Timur, Tabanan</t>
  </si>
  <si>
    <t>5102022804920002</t>
  </si>
  <si>
    <t>081805300456</t>
  </si>
  <si>
    <t>Wahyu Noviya Ningsih</t>
  </si>
  <si>
    <t>Karanganyar</t>
  </si>
  <si>
    <t>JL gunung krakatao no 9 Denpasar barat</t>
  </si>
  <si>
    <t>5171036711970019</t>
  </si>
  <si>
    <t>0002662554161</t>
  </si>
  <si>
    <t>19014360481</t>
  </si>
  <si>
    <t>08761475665</t>
  </si>
  <si>
    <t>vivinoviyaa@gmail.com</t>
  </si>
  <si>
    <t>Jl gunung krakatao no 9 Denpasar barat</t>
  </si>
  <si>
    <t>S1 Manajemen</t>
  </si>
  <si>
    <t>081337008835(ayah)</t>
  </si>
  <si>
    <t>0317.1204</t>
  </si>
  <si>
    <t>1204</t>
  </si>
  <si>
    <t>Eko Prayitno</t>
  </si>
  <si>
    <t>bondowoso</t>
  </si>
  <si>
    <t>Ds Meliling Kangin Perum Graha Candra Asri K 13</t>
  </si>
  <si>
    <t>3511131405870002</t>
  </si>
  <si>
    <t>081252588395</t>
  </si>
  <si>
    <t>Ds Meliling Kangin</t>
  </si>
  <si>
    <t xml:space="preserve">Faizan </t>
  </si>
  <si>
    <t>selak atas</t>
  </si>
  <si>
    <t>Embung Raja, Terara</t>
  </si>
  <si>
    <t>5203033112890315</t>
  </si>
  <si>
    <t>085238637289</t>
  </si>
  <si>
    <t>Jl. Badak Agung Renon Denpasar No.7</t>
  </si>
  <si>
    <t>Hardianto</t>
  </si>
  <si>
    <t>Repok Tengak</t>
  </si>
  <si>
    <t>Repok Tengak, Gereneng sakra timur, Lombok Tengah</t>
  </si>
  <si>
    <t>5203183112950131</t>
  </si>
  <si>
    <t>5203180606120007</t>
  </si>
  <si>
    <t>19014360283</t>
  </si>
  <si>
    <t>081918213584</t>
  </si>
  <si>
    <t>hardyanto503@gmail.com</t>
  </si>
  <si>
    <t>jl muding batu saglan vii</t>
  </si>
  <si>
    <t>087856819639(adik)</t>
  </si>
  <si>
    <t>0417.1206</t>
  </si>
  <si>
    <t>1206</t>
  </si>
  <si>
    <t>Eka Febri Pradana</t>
  </si>
  <si>
    <t>Jember, Dusun Sumberejo</t>
  </si>
  <si>
    <t>3509111802980004</t>
  </si>
  <si>
    <t>085 729 761 042</t>
  </si>
  <si>
    <t>Jln. Hayam Wuruk G 4 No 11A</t>
  </si>
  <si>
    <t>Orang tua (081 238 738 658)</t>
  </si>
  <si>
    <t>Cepi Sandi Suryadi</t>
  </si>
  <si>
    <t>Jln. PHH Mustopha Gg Pelita III No. 09</t>
  </si>
  <si>
    <t>327314140287008</t>
  </si>
  <si>
    <t>081999833253</t>
  </si>
  <si>
    <t>Jln. Gunung Talang 2 Gg. Jepun No 99x</t>
  </si>
  <si>
    <t>Wahyu Larasati</t>
  </si>
  <si>
    <t>Jl. Cokrominoto/ Cempaka 5 Denpasar</t>
  </si>
  <si>
    <t>5117045612980000</t>
  </si>
  <si>
    <t>081558031279</t>
  </si>
  <si>
    <t>Jl. Bedahulu XVII No.12</t>
  </si>
  <si>
    <t>Elizabeth P. Elu</t>
  </si>
  <si>
    <t>Jaga Ngara</t>
  </si>
  <si>
    <t>Jaga Ngara RT1 RW2, WEE KAROU, LOLI SUMBA</t>
  </si>
  <si>
    <t>5312105303950003</t>
  </si>
  <si>
    <t>5312101611100011</t>
  </si>
  <si>
    <t>0000849688042</t>
  </si>
  <si>
    <t>19014360291</t>
  </si>
  <si>
    <t>088236240174</t>
  </si>
  <si>
    <t>ekulla744@gmail.com</t>
  </si>
  <si>
    <t>Jln Taman werdi no 10 mumbul</t>
  </si>
  <si>
    <t>085738943301</t>
  </si>
  <si>
    <t>0517.1207</t>
  </si>
  <si>
    <t>1207</t>
  </si>
  <si>
    <t>Komang Harmawan</t>
  </si>
  <si>
    <t>singaraja</t>
  </si>
  <si>
    <t>Jln. Srikandi No 3x Singaraja Bali</t>
  </si>
  <si>
    <t>5108061902850005</t>
  </si>
  <si>
    <t>087862260094</t>
  </si>
  <si>
    <t>Jln. Dewi Supraba Gang Putra No.14</t>
  </si>
  <si>
    <t>Ni Kadek Desy Wiarningsih</t>
  </si>
  <si>
    <t>negara</t>
  </si>
  <si>
    <t>5101014712970005</t>
  </si>
  <si>
    <t>083114086943</t>
  </si>
  <si>
    <t>Gg. Bikini No.5</t>
  </si>
  <si>
    <t>Ni Putu Ria Yuliantini</t>
  </si>
  <si>
    <t>Lingkungan Lelateng Ketapang, Kec. Negare, Kab. Jembrana</t>
  </si>
  <si>
    <t>5101015307980005</t>
  </si>
  <si>
    <t>081 558 965 629</t>
  </si>
  <si>
    <t>Jl. Gelogor Carik Gang Cempaka</t>
  </si>
  <si>
    <t>Orang tua (081 803 656 848)</t>
  </si>
  <si>
    <t>I Putu Diana Eka Putra</t>
  </si>
  <si>
    <t>mendoyo dangin tukad</t>
  </si>
  <si>
    <t>Br. Baler Bale Agung, Desa Mendoyo Dangin Tukad</t>
  </si>
  <si>
    <t>5101022303970003</t>
  </si>
  <si>
    <t>081 936 006 982</t>
  </si>
  <si>
    <t>Bapak (087 862 336 125)</t>
  </si>
  <si>
    <t>Ni Made Witami</t>
  </si>
  <si>
    <t>Jln. Raya Sesetan Gg. Taman Sari II No. 27</t>
  </si>
  <si>
    <t>5171034901950005</t>
  </si>
  <si>
    <t>089688622985</t>
  </si>
  <si>
    <t>I Wayan Sugiana</t>
  </si>
  <si>
    <t>Kalanganyar</t>
  </si>
  <si>
    <t>Br Dinas Kalanganyar, Seraya Barat Karangasem</t>
  </si>
  <si>
    <t>5107042209930001</t>
  </si>
  <si>
    <t>5107041910090383</t>
  </si>
  <si>
    <t>0000825401676</t>
  </si>
  <si>
    <t>19014360390</t>
  </si>
  <si>
    <t>083114623545</t>
  </si>
  <si>
    <t>wayan.sugiana@ymail.com</t>
  </si>
  <si>
    <t>Desa celuk Sukawati, Gianyar</t>
  </si>
  <si>
    <t>S1 Teknik Pertani</t>
  </si>
  <si>
    <t>085337280747(ibu)</t>
  </si>
  <si>
    <t>0617.1211</t>
  </si>
  <si>
    <t>1211</t>
  </si>
  <si>
    <t>I Gusti Ketut Ananda Cahyani</t>
  </si>
  <si>
    <t>keramas</t>
  </si>
  <si>
    <t>Banjar Dinas Yehanakan, Banjarasem, Kec. Seririt, Kab. Buleleng</t>
  </si>
  <si>
    <t>5104026806950001</t>
  </si>
  <si>
    <t>081 236 533 994</t>
  </si>
  <si>
    <t>Banjar Ambengan Peliatan Ubud</t>
  </si>
  <si>
    <t>Suami (085 739 760 084)</t>
  </si>
  <si>
    <t>Ni Putu Yuliana Dewi</t>
  </si>
  <si>
    <t>Jl. GN Mas Gg Sewu II No 5</t>
  </si>
  <si>
    <t>5171035807950001</t>
  </si>
  <si>
    <t>1571030606070199</t>
  </si>
  <si>
    <t>0001851999254</t>
  </si>
  <si>
    <t>19062619036</t>
  </si>
  <si>
    <t>087860215880</t>
  </si>
  <si>
    <t>yulianadewi1895@gmail.com</t>
  </si>
  <si>
    <t>Jl. Sehari Dana IX No 2X</t>
  </si>
  <si>
    <t>SMA Perhotelan</t>
  </si>
  <si>
    <t>08180554592</t>
  </si>
  <si>
    <t>0717.1212</t>
  </si>
  <si>
    <t>1212</t>
  </si>
  <si>
    <t>I Gusti Bagus Ardiana</t>
  </si>
  <si>
    <t>Banjar munduk, kaliakah, negara</t>
  </si>
  <si>
    <t>5101012905940007</t>
  </si>
  <si>
    <t>5101010505090169</t>
  </si>
  <si>
    <t>0000819100192</t>
  </si>
  <si>
    <t>18010131615</t>
  </si>
  <si>
    <t>gusbrighlee94@gmail.com</t>
  </si>
  <si>
    <t>jalan bikini</t>
  </si>
  <si>
    <t>0717.1213</t>
  </si>
  <si>
    <t>1213</t>
  </si>
  <si>
    <t>Ni Ketut Sriati</t>
  </si>
  <si>
    <t>Banjar Roban Tulikup Gianyar</t>
  </si>
  <si>
    <t>5104035204830003</t>
  </si>
  <si>
    <t>19014360408</t>
  </si>
  <si>
    <t>081999241771</t>
  </si>
  <si>
    <t>ketutsriati4@gmail.com</t>
  </si>
  <si>
    <t xml:space="preserve"> Banjar Roban Tulikup Gianyar Bali</t>
  </si>
  <si>
    <t>0717.1215</t>
  </si>
  <si>
    <t>1215</t>
  </si>
  <si>
    <t>Nyoman Adi Merta</t>
  </si>
  <si>
    <t>Banjar dinas kanginan,Sawan</t>
  </si>
  <si>
    <t>5108070304880001</t>
  </si>
  <si>
    <t>5108073004120004</t>
  </si>
  <si>
    <t>0001584027955</t>
  </si>
  <si>
    <t>19014360499</t>
  </si>
  <si>
    <t>081937036750</t>
  </si>
  <si>
    <t>amerta765@gmail.com</t>
  </si>
  <si>
    <t>jl bikin no 5a</t>
  </si>
  <si>
    <t>081933118031 kakak</t>
  </si>
  <si>
    <t>0717.1214</t>
  </si>
  <si>
    <t>1214</t>
  </si>
  <si>
    <t>Putu Darsana</t>
  </si>
  <si>
    <t>Br dinas tegal,sangsit, sawan buleleng</t>
  </si>
  <si>
    <t>5108071907910001</t>
  </si>
  <si>
    <t>5108070212060050</t>
  </si>
  <si>
    <t>0000826133242</t>
  </si>
  <si>
    <t>19072120363</t>
  </si>
  <si>
    <t>081936348170</t>
  </si>
  <si>
    <t>arielsengklex@gmail.com</t>
  </si>
  <si>
    <t>jl gn andakasa gg kamboja</t>
  </si>
  <si>
    <t>087860944809 saudara</t>
  </si>
  <si>
    <t>0717.1216</t>
  </si>
  <si>
    <t>1216</t>
  </si>
  <si>
    <t>Stockkeeper</t>
  </si>
  <si>
    <t>I Gusti Made Mila Rusita</t>
  </si>
  <si>
    <t>Jln. Sidakarya Gg. Kerang No. 1 Denpasar</t>
  </si>
  <si>
    <t>5171014105960001</t>
  </si>
  <si>
    <t>085792739442</t>
  </si>
  <si>
    <t>Putu Jenana Pramarta Utama</t>
  </si>
  <si>
    <t>sibanggede</t>
  </si>
  <si>
    <t>Br. Parekan Sibanggede, Abiansemal, Badung</t>
  </si>
  <si>
    <t>5103030809990003</t>
  </si>
  <si>
    <t>081703563580</t>
  </si>
  <si>
    <t>Made Gunawan</t>
  </si>
  <si>
    <t>Bondalem</t>
  </si>
  <si>
    <t>br dinas celagi, bondalem tejakula</t>
  </si>
  <si>
    <t>5108091004920001</t>
  </si>
  <si>
    <t>19080964521</t>
  </si>
  <si>
    <t>08970137068</t>
  </si>
  <si>
    <t>gunablack93@gmail.com</t>
  </si>
  <si>
    <t>jl sdap malam gg 3 no 15</t>
  </si>
  <si>
    <t>0881037006323 istri</t>
  </si>
  <si>
    <t>0717.1218</t>
  </si>
  <si>
    <t>1218</t>
  </si>
  <si>
    <t>Kadek Bayu Arimbawa</t>
  </si>
  <si>
    <t>Jl Tukad Banyusari GG III/9 DPS, Panjer Denpasar</t>
  </si>
  <si>
    <t>5171032609980002</t>
  </si>
  <si>
    <t>5171031811060045</t>
  </si>
  <si>
    <t>0000142573746</t>
  </si>
  <si>
    <t>19014360358</t>
  </si>
  <si>
    <t>0895623455776</t>
  </si>
  <si>
    <t>kbarimbawa@gmail.com</t>
  </si>
  <si>
    <t>Jl tukad banyusari 993 no9, Panjer</t>
  </si>
  <si>
    <t>SMK RPL</t>
  </si>
  <si>
    <t>085792271203</t>
  </si>
  <si>
    <t>0717.1219</t>
  </si>
  <si>
    <t>1219</t>
  </si>
  <si>
    <t>Indah Mawarni</t>
  </si>
  <si>
    <t>Jl Selawati no 6 beraban, dauh puri kauh denpasar barat</t>
  </si>
  <si>
    <t>5171036903890004</t>
  </si>
  <si>
    <t>5171032404130026</t>
  </si>
  <si>
    <t>19032174773</t>
  </si>
  <si>
    <t>081246411928</t>
  </si>
  <si>
    <t>mawarniindah123456@gmail.com</t>
  </si>
  <si>
    <t>jl resimuka barat gg indonesia no 121</t>
  </si>
  <si>
    <t>085738456248 suami</t>
  </si>
  <si>
    <t>0717.1220</t>
  </si>
  <si>
    <t>1220</t>
  </si>
  <si>
    <t>M. Kadri Ramdhan</t>
  </si>
  <si>
    <t>Doroh, Gereneng, Sakra Timur</t>
  </si>
  <si>
    <t>5203183112970029</t>
  </si>
  <si>
    <t>5203180405100017</t>
  </si>
  <si>
    <t>0002594740825</t>
  </si>
  <si>
    <t>19032174765</t>
  </si>
  <si>
    <t>087750238902</t>
  </si>
  <si>
    <t>kadriramdhan@gmail.com</t>
  </si>
  <si>
    <t>Jl berlian gg 3 no 6</t>
  </si>
  <si>
    <t>085238829116(kakak)</t>
  </si>
  <si>
    <t>0717.1222</t>
  </si>
  <si>
    <t>1222</t>
  </si>
  <si>
    <t>Agus Dickna Yudistira</t>
  </si>
  <si>
    <t>Jln. P. Salawati No. 6 Denpasar Br/Link Eka Sila</t>
  </si>
  <si>
    <t>5171032210980006</t>
  </si>
  <si>
    <t>081236780670</t>
  </si>
  <si>
    <t>Jln. Kenyeri Gang 4 No.9</t>
  </si>
  <si>
    <t>Agus Cahyono</t>
  </si>
  <si>
    <t>trenggalek</t>
  </si>
  <si>
    <t>Dsn. Pojok RT 004 / RW 001 Desa Sumurup Kec. Bendungan</t>
  </si>
  <si>
    <t>3503092708940001</t>
  </si>
  <si>
    <t>089 631 849 946</t>
  </si>
  <si>
    <t>Jl. Dukuh Sari No. 62 Sesetan Denpasar</t>
  </si>
  <si>
    <t>Kakak (081 246 268 278)</t>
  </si>
  <si>
    <t>Kadek Agus Rieskie Suparta Negara Dwi Payana</t>
  </si>
  <si>
    <t>Tista</t>
  </si>
  <si>
    <t>JL Narakusuma GG II/4, BR/LINK. Kepisah Sumerta Kelod, Denpasar</t>
  </si>
  <si>
    <t>5171022707970001</t>
  </si>
  <si>
    <t>5171022201070028</t>
  </si>
  <si>
    <t xml:space="preserve"> TK/0</t>
  </si>
  <si>
    <t>0000142594446</t>
  </si>
  <si>
    <t>19014360325</t>
  </si>
  <si>
    <t>087701807906</t>
  </si>
  <si>
    <t>sismarisky@gmail.com</t>
  </si>
  <si>
    <t>Jl narakusuma gg 2/4</t>
  </si>
  <si>
    <t>SMA/IPS</t>
  </si>
  <si>
    <t>085333544784 (ibu)</t>
  </si>
  <si>
    <t>0717.1223</t>
  </si>
  <si>
    <t>1223</t>
  </si>
  <si>
    <t>I Gusti Ngurah Agung Wirawan Sudewa</t>
  </si>
  <si>
    <t>Tulikup</t>
  </si>
  <si>
    <t>Br Menak, tulikup Gianyar</t>
  </si>
  <si>
    <t>5104032705950004</t>
  </si>
  <si>
    <t>5104031707090045</t>
  </si>
  <si>
    <t>0000822048794</t>
  </si>
  <si>
    <t>19072120405</t>
  </si>
  <si>
    <t>083119940547</t>
  </si>
  <si>
    <t>wirawansudewa6@gmail.com</t>
  </si>
  <si>
    <t>BR MENAK TULIKUP</t>
  </si>
  <si>
    <t>S1 STIKOM</t>
  </si>
  <si>
    <t>083119940547 (IBU)</t>
  </si>
  <si>
    <t>0717.1224</t>
  </si>
  <si>
    <t>1224</t>
  </si>
  <si>
    <t>Arif Hadi Muqsit</t>
  </si>
  <si>
    <t>Jl. Kalilo No. 07 Pengantigan, Banyuwangi</t>
  </si>
  <si>
    <t>3510160204930001</t>
  </si>
  <si>
    <t>085330463380</t>
  </si>
  <si>
    <t>I Kadek Yoin Hendrawan</t>
  </si>
  <si>
    <t>Br. Samu Singapadu Kaler</t>
  </si>
  <si>
    <t>5104012709960001</t>
  </si>
  <si>
    <t>081 246 788 362</t>
  </si>
  <si>
    <t xml:space="preserve">Br. Samu Singapadu Kaler, Sukawati Gianyar </t>
  </si>
  <si>
    <t>Kakak (081 239 819 104)</t>
  </si>
  <si>
    <t>I Made Adiyana</t>
  </si>
  <si>
    <t>Mandul</t>
  </si>
  <si>
    <t>Banjar Mandul,Luwus,Baturirti</t>
  </si>
  <si>
    <t>5102090302980003</t>
  </si>
  <si>
    <t>5102091903087407</t>
  </si>
  <si>
    <t>0002936517131</t>
  </si>
  <si>
    <t>19072120298</t>
  </si>
  <si>
    <t>087750113038</t>
  </si>
  <si>
    <t>imadeadiyana98@gmail.com</t>
  </si>
  <si>
    <t>Jl. Seridana no.10</t>
  </si>
  <si>
    <t>SMK Perhotelan</t>
  </si>
  <si>
    <t>083119597928</t>
  </si>
  <si>
    <t>0717.1226</t>
  </si>
  <si>
    <t>Office Boy</t>
  </si>
  <si>
    <t>Wayan Sudarta</t>
  </si>
  <si>
    <t>Tejakula</t>
  </si>
  <si>
    <t>Banjar Dinas Sila Darma, Tejakula</t>
  </si>
  <si>
    <t>5108092408990003</t>
  </si>
  <si>
    <t>5108092806090030</t>
  </si>
  <si>
    <t>0000828136102</t>
  </si>
  <si>
    <t>19022700470</t>
  </si>
  <si>
    <t>087863225800</t>
  </si>
  <si>
    <t>sudarta761@gmail.com</t>
  </si>
  <si>
    <t>D1 Informatika</t>
  </si>
  <si>
    <t>087851053259(ayah)</t>
  </si>
  <si>
    <t>0717.1227</t>
  </si>
  <si>
    <t>1227</t>
  </si>
  <si>
    <t>Yunizar Rizqi</t>
  </si>
  <si>
    <t>lumajang</t>
  </si>
  <si>
    <t>Jl. Kolonel Suruji Barat No. 32 C, Lumajang</t>
  </si>
  <si>
    <t>3508102806910002</t>
  </si>
  <si>
    <t>081703430811</t>
  </si>
  <si>
    <t>Jln. Tukad Irawadi Gg Family, Panjer</t>
  </si>
  <si>
    <t>I Putu Adi Putra</t>
  </si>
  <si>
    <t>jurangaya</t>
  </si>
  <si>
    <t>880616220269</t>
  </si>
  <si>
    <t>085953777840</t>
  </si>
  <si>
    <t>Jln. Hayam Wuruk Gg Flora Bali</t>
  </si>
  <si>
    <t>Nanang Setiyadi</t>
  </si>
  <si>
    <t>Mendeng Purwasuman RT 35 Sidoharjo Sragen</t>
  </si>
  <si>
    <t>3314111707950002</t>
  </si>
  <si>
    <t>085738537030</t>
  </si>
  <si>
    <t>Jln. Pulau Misol Gang 20 No 12</t>
  </si>
  <si>
    <t>Suryanti Listya Warni</t>
  </si>
  <si>
    <t>yogyakarta</t>
  </si>
  <si>
    <t>Petinggen TR II / 1277 YK</t>
  </si>
  <si>
    <t>3471016501760001</t>
  </si>
  <si>
    <t>081 727 2920</t>
  </si>
  <si>
    <t>Jl. Kerobokan No.95 D, Banjar Taman, Kerobokan</t>
  </si>
  <si>
    <t>Suami (081 727 2902)</t>
  </si>
  <si>
    <t>Moh. Mukhlisin</t>
  </si>
  <si>
    <t>Jl rambutan dusun gurah waru, gambirang, bangalsari, Jember</t>
  </si>
  <si>
    <t>3509092002990005</t>
  </si>
  <si>
    <t>3509091307110035</t>
  </si>
  <si>
    <t>19080964638</t>
  </si>
  <si>
    <t>085739551908</t>
  </si>
  <si>
    <t>moh.muhlisin123@gmail.com</t>
  </si>
  <si>
    <t>jl pulaunayu selatan no 878</t>
  </si>
  <si>
    <t>082338402959 ibu</t>
  </si>
  <si>
    <t>0817.1230</t>
  </si>
  <si>
    <t>1230</t>
  </si>
  <si>
    <t>Deny Purnomo</t>
  </si>
  <si>
    <t>Dusun Rejosari RT 001 RW 011 Gundar Baruna</t>
  </si>
  <si>
    <t>350910057960001</t>
  </si>
  <si>
    <t>081333305966</t>
  </si>
  <si>
    <t>Ubud</t>
  </si>
  <si>
    <t>Bayu Sulpianto</t>
  </si>
  <si>
    <t>cianjur</t>
  </si>
  <si>
    <t>Kp. Lugenang 004/004 Cijedil</t>
  </si>
  <si>
    <t>3203111807950000</t>
  </si>
  <si>
    <t>082144164096</t>
  </si>
  <si>
    <t>Jalan Pulau Bangka No 2a</t>
  </si>
  <si>
    <t>Komang Marajaya</t>
  </si>
  <si>
    <t>Jalan Gunung Agung Gang II E Blok 4 No 6 Tulangampiang</t>
  </si>
  <si>
    <t>5171041505860000</t>
  </si>
  <si>
    <t>0895358804507</t>
  </si>
  <si>
    <t>I Gusti Lanang Ngurah Budiarta</t>
  </si>
  <si>
    <t>babakan</t>
  </si>
  <si>
    <t>Br. Dinas Babakan Peringsari, Selat, Karangasem</t>
  </si>
  <si>
    <t>5107070605950000</t>
  </si>
  <si>
    <t>085339014131</t>
  </si>
  <si>
    <t>Jalan Padma</t>
  </si>
  <si>
    <t>Fani Fajar Zulvi</t>
  </si>
  <si>
    <t>Jalan Rambutan Gambirono Jember</t>
  </si>
  <si>
    <t>3509093007980002</t>
  </si>
  <si>
    <t>082 370 181 638</t>
  </si>
  <si>
    <t>Jl. Pulau Ayu Selatan No.818, Denpasar</t>
  </si>
  <si>
    <t>Kakak (083 114 806 181)</t>
  </si>
  <si>
    <t>Gusti Krisna Aditama</t>
  </si>
  <si>
    <t>serang</t>
  </si>
  <si>
    <t>Jalan Flamboyan Raya No 74 BBS II Cilegon Banten</t>
  </si>
  <si>
    <t>2677081733940002</t>
  </si>
  <si>
    <t>087862708484</t>
  </si>
  <si>
    <t>Jalan Tukad Badung XI No.22 Renon Denpasar</t>
  </si>
  <si>
    <t>David Karisma Putra</t>
  </si>
  <si>
    <t>probolinggo</t>
  </si>
  <si>
    <t>Dsn. Jetak Kec. Sukapuran Kab. Probolinggo</t>
  </si>
  <si>
    <t>3513012504980001</t>
  </si>
  <si>
    <t>085230110034</t>
  </si>
  <si>
    <t>Jalan Nojasari No 1 Denpasar Timur</t>
  </si>
  <si>
    <t>Ni Putu Ferdina Nicky Ulandari</t>
  </si>
  <si>
    <t>Jalan Antasura Gang Dewi Ratih No 25</t>
  </si>
  <si>
    <t>5171044404930006</t>
  </si>
  <si>
    <t>083119345684</t>
  </si>
  <si>
    <t>Jalan Kebo Iwa Gang Agastia No 3</t>
  </si>
  <si>
    <t>Ni Luh Putu Marwati</t>
  </si>
  <si>
    <t>Desa Kampial, Br Manesa Nusa 2 Badung</t>
  </si>
  <si>
    <t>5171047003940001</t>
  </si>
  <si>
    <t>087861132290</t>
  </si>
  <si>
    <t>Jalan Nangka Gg II Bedogol I No. 33</t>
  </si>
  <si>
    <t>Muh. Sofian Zain Khalil</t>
  </si>
  <si>
    <t>Aik Bukaq</t>
  </si>
  <si>
    <t>AIK BUKAQ</t>
  </si>
  <si>
    <t>5202122903970001</t>
  </si>
  <si>
    <t>5202121601082991</t>
  </si>
  <si>
    <t>0002930964377</t>
  </si>
  <si>
    <t>18010131557</t>
  </si>
  <si>
    <t>087762158086</t>
  </si>
  <si>
    <t>lalufayen34@gmail.com</t>
  </si>
  <si>
    <t>jl buana kubu gg asem 1</t>
  </si>
  <si>
    <t>085238408727 ayah</t>
  </si>
  <si>
    <t>0917.1232</t>
  </si>
  <si>
    <t>1232</t>
  </si>
  <si>
    <t>Ricky Fernando Urip Pratama</t>
  </si>
  <si>
    <t>Lumajang</t>
  </si>
  <si>
    <t>Dsn Tenggalek, sukorejo kunir, Lumajang</t>
  </si>
  <si>
    <t>3508061702960001</t>
  </si>
  <si>
    <t>3508062308052200</t>
  </si>
  <si>
    <t>0000686449168</t>
  </si>
  <si>
    <t>19014360457</t>
  </si>
  <si>
    <t>082244503258</t>
  </si>
  <si>
    <t>rfup.17@gmail.com</t>
  </si>
  <si>
    <t>Br sema kos kamar k3 kediri tabanan</t>
  </si>
  <si>
    <t>081353824101(ibu)</t>
  </si>
  <si>
    <t>1017.1235</t>
  </si>
  <si>
    <t>1235</t>
  </si>
  <si>
    <t>I Putu Budiarta</t>
  </si>
  <si>
    <t>Br. Dinas Putung</t>
  </si>
  <si>
    <t>5107013008950002</t>
  </si>
  <si>
    <t>087866119380</t>
  </si>
  <si>
    <t>Jalan Nangka Selatan Gang Kenari VI No 12</t>
  </si>
  <si>
    <t>Putu Soniami</t>
  </si>
  <si>
    <t>Jalan Pulau Ayu No. 59 Denpasar</t>
  </si>
  <si>
    <t>5171015611980005</t>
  </si>
  <si>
    <t>085792768394</t>
  </si>
  <si>
    <t>Septian Abdul Ghofar</t>
  </si>
  <si>
    <t>Jalan Buana Raya Gg. Buana Asri 15 Denpasar Barat</t>
  </si>
  <si>
    <t>3206242809980002</t>
  </si>
  <si>
    <t>087 826 943 651</t>
  </si>
  <si>
    <t>Jalan Buana Raya Depan Toko Bagus Utama</t>
  </si>
  <si>
    <t>Orangtua (082 339 552 725)</t>
  </si>
  <si>
    <t>Ni Kadek Ayu Chelsea</t>
  </si>
  <si>
    <t>Jl Gn Guntur, Br Tegeh Sari, Padang Sambian Kaja</t>
  </si>
  <si>
    <t>5171034511970020</t>
  </si>
  <si>
    <t>5171033009150001</t>
  </si>
  <si>
    <t>19072120306</t>
  </si>
  <si>
    <t>089527281851</t>
  </si>
  <si>
    <t>galeriasus44@gmail.com</t>
  </si>
  <si>
    <t>Jln Gunung Guntur gg 28 A padang sambian</t>
  </si>
  <si>
    <t>SMK PGRI</t>
  </si>
  <si>
    <t>085738819655(ibu)</t>
  </si>
  <si>
    <t>1017.1237</t>
  </si>
  <si>
    <t>1237</t>
  </si>
  <si>
    <t>Tokip</t>
  </si>
  <si>
    <t xml:space="preserve"> Bojonegoro</t>
  </si>
  <si>
    <t>Dusun Batang RT3 RW8, Margomulyo, Bojonegoro</t>
  </si>
  <si>
    <t>3522222704980004</t>
  </si>
  <si>
    <t>3522223007070210</t>
  </si>
  <si>
    <t>0002727286097</t>
  </si>
  <si>
    <t>19062618996</t>
  </si>
  <si>
    <t>085749648419</t>
  </si>
  <si>
    <t>tokipthok@gmail.com</t>
  </si>
  <si>
    <t>Jl Bukit Dharma Goa Gong</t>
  </si>
  <si>
    <t>085607764871</t>
  </si>
  <si>
    <t>1017.1236</t>
  </si>
  <si>
    <t>1236</t>
  </si>
  <si>
    <t>Ayu Icha Rahmana Sari</t>
  </si>
  <si>
    <t>Bangah</t>
  </si>
  <si>
    <t>JL. ANTASURA PERUM SEKAR ANTASURA NO 25</t>
  </si>
  <si>
    <t>5102094903980002</t>
  </si>
  <si>
    <t>5171041304170005</t>
  </si>
  <si>
    <t>0002442407984</t>
  </si>
  <si>
    <t>19014360374</t>
  </si>
  <si>
    <t>081238890918</t>
  </si>
  <si>
    <t>ayuicha09@gmail.com</t>
  </si>
  <si>
    <t xml:space="preserve">JL. ANTASURA PERUM SEKAR ANTASURA NO 25 BR. PENGUKUH, PEGUYANGAN </t>
  </si>
  <si>
    <t>S1 AKUNTANSI</t>
  </si>
  <si>
    <t>1017.1238</t>
  </si>
  <si>
    <t>1238</t>
  </si>
  <si>
    <t>Pandu Wira Saputra</t>
  </si>
  <si>
    <t>Dusun Krajan RT 004 RW 003 kel/Ps Pesanggaran</t>
  </si>
  <si>
    <t>3510011702980003</t>
  </si>
  <si>
    <t>085338293921</t>
  </si>
  <si>
    <t>Gunung Guntur</t>
  </si>
  <si>
    <t>Rio Ardiansyah</t>
  </si>
  <si>
    <t>sukabumi</t>
  </si>
  <si>
    <t>Kp. Gunung Jaya RT 12/02 Kec Cisaat, Sukabumi</t>
  </si>
  <si>
    <t>3202292308950001</t>
  </si>
  <si>
    <t>081513473513</t>
  </si>
  <si>
    <t>Jalan Sedap Malam 180 gg. Cemara No 2 Kebon Kuri Kelod Sanur</t>
  </si>
  <si>
    <t>Dinda Husaini</t>
  </si>
  <si>
    <t>gondol</t>
  </si>
  <si>
    <t>5108015508940003</t>
  </si>
  <si>
    <t>083114672177</t>
  </si>
  <si>
    <t>Jalan Gunung Patas Kerobokan</t>
  </si>
  <si>
    <t>Katania Prasetya</t>
  </si>
  <si>
    <t>Malang</t>
  </si>
  <si>
    <t>Jl Imam Bonjol gg Kertapura VI/2b DPS, pemecutan kelod, denpasar barat</t>
  </si>
  <si>
    <t>5171036912940005</t>
  </si>
  <si>
    <t>5171032704070044</t>
  </si>
  <si>
    <t>0002377400804</t>
  </si>
  <si>
    <t>19007167000</t>
  </si>
  <si>
    <t>082257093312</t>
  </si>
  <si>
    <t>prasetyakatania@gmail.com</t>
  </si>
  <si>
    <t>jl teuku umar barat gg kertapura VI/28B</t>
  </si>
  <si>
    <t>S1 MSDM</t>
  </si>
  <si>
    <t>081338504908(ibu)</t>
  </si>
  <si>
    <t>1017.1241</t>
  </si>
  <si>
    <t>1241</t>
  </si>
  <si>
    <t>Gede Angga Septiadi</t>
  </si>
  <si>
    <t>sangsit</t>
  </si>
  <si>
    <t>Br. Dinas Pegayaman Ds Temukus Kec Banjar</t>
  </si>
  <si>
    <t>5108040609970005</t>
  </si>
  <si>
    <t>082 339 304 234</t>
  </si>
  <si>
    <t>Jalan Pemuda IV No.1 Renon</t>
  </si>
  <si>
    <t>Orang tua (081 339 336 909)</t>
  </si>
  <si>
    <t>Cristian Pratama Tanaya</t>
  </si>
  <si>
    <t>Jl Tukad balian X/2 BR/LINK.KAJA</t>
  </si>
  <si>
    <t>Budha</t>
  </si>
  <si>
    <t>5171030406950002</t>
  </si>
  <si>
    <t>5171030501070024</t>
  </si>
  <si>
    <t>81.616.383.6-903.000</t>
  </si>
  <si>
    <t>0001717867192</t>
  </si>
  <si>
    <t>19032174849</t>
  </si>
  <si>
    <t>083114339803</t>
  </si>
  <si>
    <t>iantanaya95@gmail.com</t>
  </si>
  <si>
    <t>Jl. Pantai Penimbangan No 471</t>
  </si>
  <si>
    <t xml:space="preserve">S1 </t>
  </si>
  <si>
    <t>1017.1243</t>
  </si>
  <si>
    <t>1243</t>
  </si>
  <si>
    <t>CW15</t>
  </si>
  <si>
    <t>Ni Luh Putu Eka Oktarini</t>
  </si>
  <si>
    <t>Karangasem, Abang</t>
  </si>
  <si>
    <t>5107055610960001</t>
  </si>
  <si>
    <t>085 942 862 994</t>
  </si>
  <si>
    <t>Jalan Tukad Barito Timur II No. 16</t>
  </si>
  <si>
    <t>Orangtua (085 739 480 588)</t>
  </si>
  <si>
    <t>Anasi Raga</t>
  </si>
  <si>
    <t>Sidoarjo</t>
  </si>
  <si>
    <t>Br. Teges Kangihan - Peliatan - Ubud</t>
  </si>
  <si>
    <t>5104050211920003</t>
  </si>
  <si>
    <t>081236327161</t>
  </si>
  <si>
    <t>Br. Junjungan - Ubud</t>
  </si>
  <si>
    <t>Heru Eko Pratomo</t>
  </si>
  <si>
    <t>medan</t>
  </si>
  <si>
    <t>Jalan Setia Luhur Gang Mawar No. 11 A</t>
  </si>
  <si>
    <t>1271032001940010</t>
  </si>
  <si>
    <t>081226183066</t>
  </si>
  <si>
    <t>Jalan Raya Canggu Banjar Anyar Kaja</t>
  </si>
  <si>
    <t>I Gede Arya Wira Putra</t>
  </si>
  <si>
    <t>sidatapa</t>
  </si>
  <si>
    <t>Br. Aseman Kawan Tibubeneng</t>
  </si>
  <si>
    <t>5103062811950005</t>
  </si>
  <si>
    <t>085 932 822 861</t>
  </si>
  <si>
    <t>Jl. Raya Canggu, Perumahan Puri Aseman No. 30A</t>
  </si>
  <si>
    <t>Pacar (082247378174)</t>
  </si>
  <si>
    <t>31 desember</t>
  </si>
  <si>
    <t>Natalia Stiman</t>
  </si>
  <si>
    <t>Tohong</t>
  </si>
  <si>
    <t>Tohong, cunca wulang, mbeliling, Labuan Bajo</t>
  </si>
  <si>
    <t>5315046708930001</t>
  </si>
  <si>
    <t>5315040809080011</t>
  </si>
  <si>
    <t>19014360309</t>
  </si>
  <si>
    <t>082147032376</t>
  </si>
  <si>
    <t>setimannatalia@gmail.com</t>
  </si>
  <si>
    <t>Jln Taman Jati / Mumbul</t>
  </si>
  <si>
    <t>085339313235</t>
  </si>
  <si>
    <t>1117.1247</t>
  </si>
  <si>
    <t>1247</t>
  </si>
  <si>
    <t>Hasan Abdillah</t>
  </si>
  <si>
    <t>Dsn Pegundangan RT2 RW2, Karangharjo Glenmore, Banyuwangi</t>
  </si>
  <si>
    <t>3510100712980004</t>
  </si>
  <si>
    <t>3510101210055308</t>
  </si>
  <si>
    <t>0000699037773</t>
  </si>
  <si>
    <t>19014360341</t>
  </si>
  <si>
    <t>083852348255</t>
  </si>
  <si>
    <t>hasanabdillah07121998@gmail.com</t>
  </si>
  <si>
    <t>Jalan Taman Baruna Jimbaran</t>
  </si>
  <si>
    <t>085238696174</t>
  </si>
  <si>
    <t>1117.1248</t>
  </si>
  <si>
    <t>1248</t>
  </si>
  <si>
    <t>Gede Dicky Yudiana</t>
  </si>
  <si>
    <t>Dusun Pasar Desa Anturan</t>
  </si>
  <si>
    <t>5108061707960003</t>
  </si>
  <si>
    <t>089520153177</t>
  </si>
  <si>
    <t>Jl. Pulau Saelus Gang IV No. 34</t>
  </si>
  <si>
    <t>Ni Kadek Okta Viani</t>
  </si>
  <si>
    <t>Mutiara Abianbase No. 27 Lingkungan Semate Abianbase</t>
  </si>
  <si>
    <t>5103025910970005</t>
  </si>
  <si>
    <t>083 114 577 176</t>
  </si>
  <si>
    <t>Graha Mutiara Permai Gang II No.27 Abianbase</t>
  </si>
  <si>
    <t>Orangtua (082 145 164 475)</t>
  </si>
  <si>
    <t>Agus Supriadi</t>
  </si>
  <si>
    <t>JL.PB SUDIRMAN</t>
  </si>
  <si>
    <t>7602090101930004</t>
  </si>
  <si>
    <t>3509091812170001</t>
  </si>
  <si>
    <t>19080964570</t>
  </si>
  <si>
    <t>08990477096</t>
  </si>
  <si>
    <t>adifaridlove@gmail.com</t>
  </si>
  <si>
    <t>jl supiori no 2 b</t>
  </si>
  <si>
    <t>081238929962 istri</t>
  </si>
  <si>
    <t>1117.1249</t>
  </si>
  <si>
    <t>1249</t>
  </si>
  <si>
    <t>Hefki Handika</t>
  </si>
  <si>
    <t>batu pandang</t>
  </si>
  <si>
    <t>Batu Pandang Ds. Sapit Kec. Suela Lombok Timur</t>
  </si>
  <si>
    <t>5203164708900002</t>
  </si>
  <si>
    <t>085253669401</t>
  </si>
  <si>
    <t>Jalan Mandala Sari 66 IF Blok 1 No. 6</t>
  </si>
  <si>
    <t>Ramdani</t>
  </si>
  <si>
    <t>lombok tengah</t>
  </si>
  <si>
    <t>Bunut Bendere</t>
  </si>
  <si>
    <t>5202080104980004</t>
  </si>
  <si>
    <t>087 883 982 515</t>
  </si>
  <si>
    <t>Jl Tangkuban Perahu No. 3</t>
  </si>
  <si>
    <t>Kakak (085 237 222 428)</t>
  </si>
  <si>
    <t>I Wayan Pande Sumardika</t>
  </si>
  <si>
    <t>ngis</t>
  </si>
  <si>
    <t>Banjar Dinas Kajanan Ds. Ngis Kec. Manggis Karangasem</t>
  </si>
  <si>
    <t>5107033112930012</t>
  </si>
  <si>
    <t>082342481838</t>
  </si>
  <si>
    <t>Jalan Sekar Sari Banjar Kesambi Kesiman Denpasar</t>
  </si>
  <si>
    <t>Muhammad Fathoroni</t>
  </si>
  <si>
    <t>Br. Panti, Kediri, Tabanan</t>
  </si>
  <si>
    <t>5171030808950003</t>
  </si>
  <si>
    <t>089 660 764 644</t>
  </si>
  <si>
    <t>Jl. Elang Barat I/99, Br. Panti, Kediri Tabanan</t>
  </si>
  <si>
    <t>Orang tua (081 805 678 732)</t>
  </si>
  <si>
    <t>I Made Adi Peramudita</t>
  </si>
  <si>
    <t>Br. Denbantas Tabanan</t>
  </si>
  <si>
    <t>5102053003950003</t>
  </si>
  <si>
    <t>13045058388</t>
  </si>
  <si>
    <t>083119003913</t>
  </si>
  <si>
    <t>peramuditaadi@gmail.com</t>
  </si>
  <si>
    <t>Br Anyar Kelod Kerobokan.GG Sandat No III</t>
  </si>
  <si>
    <t>085739274044 (Saudara)</t>
  </si>
  <si>
    <t>1117.1254</t>
  </si>
  <si>
    <t>1254</t>
  </si>
  <si>
    <t>Luh Desi Arianti</t>
  </si>
  <si>
    <t>Dinas Delod Yeh Kangin</t>
  </si>
  <si>
    <t>5107026312980002</t>
  </si>
  <si>
    <t>087 861 840 364</t>
  </si>
  <si>
    <t>Jalan raya tuban gg pesona no 51 G</t>
  </si>
  <si>
    <t>Ibu (081 933 013 02)</t>
  </si>
  <si>
    <t>Ni Made Indri Raditya Oviani</t>
  </si>
  <si>
    <t>Tangeb Mengwi</t>
  </si>
  <si>
    <t>LINGK. TAMBAK SARI KAPAL</t>
  </si>
  <si>
    <t>5103024804980006</t>
  </si>
  <si>
    <t>5103022702070128</t>
  </si>
  <si>
    <t>0001099402817</t>
  </si>
  <si>
    <t>19014360416</t>
  </si>
  <si>
    <t>081353332683</t>
  </si>
  <si>
    <t>radityaindri1234@gmail.com</t>
  </si>
  <si>
    <t>JL. TAMBAK SARI GG III, KAPAL MENGWI, BADUNG</t>
  </si>
  <si>
    <t>1117.1255</t>
  </si>
  <si>
    <t>1255</t>
  </si>
  <si>
    <t>Ahmad Sulaiman</t>
  </si>
  <si>
    <t>Krajan, Penataran, Giri Banyuwangi</t>
  </si>
  <si>
    <t>3510170812960002</t>
  </si>
  <si>
    <t>3510172311100003</t>
  </si>
  <si>
    <t>19022700488</t>
  </si>
  <si>
    <t>087860830175</t>
  </si>
  <si>
    <t>lemankancil014@gmail.com</t>
  </si>
  <si>
    <t>Jl Himalaya no10 Dps</t>
  </si>
  <si>
    <t>081249569394(ayah)</t>
  </si>
  <si>
    <t>1117.1256</t>
  </si>
  <si>
    <t>1256</t>
  </si>
  <si>
    <t>Kadek Erwin Permana</t>
  </si>
  <si>
    <t>buleleng</t>
  </si>
  <si>
    <t>Jalan Srikandi Gang Belimbing No 7 Singaraja Kab. Buleleng</t>
  </si>
  <si>
    <t>5108061408960001</t>
  </si>
  <si>
    <t>081338829084</t>
  </si>
  <si>
    <t>Agus Andika</t>
  </si>
  <si>
    <t>rumbuk</t>
  </si>
  <si>
    <t>Rumbuk Tanah Gadang Kabupaten Lombok Timur</t>
  </si>
  <si>
    <t>5203021508900003</t>
  </si>
  <si>
    <t>087 761 573 877</t>
  </si>
  <si>
    <t>Jl. Cok Agung Tresna Renon Gg IV</t>
  </si>
  <si>
    <t>Orangtua (081 917 927 803)</t>
  </si>
  <si>
    <t>Komang Somandiasa</t>
  </si>
  <si>
    <t>Jagaraga</t>
  </si>
  <si>
    <t>Desa Jagaraga Kauh Luan</t>
  </si>
  <si>
    <t>5108070605960001</t>
  </si>
  <si>
    <t>083114342895</t>
  </si>
  <si>
    <t>Jalan Gunung Gede Gang Kelincung</t>
  </si>
  <si>
    <t>Murni Prihatin Ningrum</t>
  </si>
  <si>
    <t>jakarta</t>
  </si>
  <si>
    <t>Jalan Mampang Prapatan IV No. 33 Jakarta</t>
  </si>
  <si>
    <t>3174035506850015</t>
  </si>
  <si>
    <t>081289359908</t>
  </si>
  <si>
    <t>Muhammad Khuzairi</t>
  </si>
  <si>
    <t>Jalan Gadungan RT2 RW11, Grenden Puger Jember</t>
  </si>
  <si>
    <t>3509080107940540</t>
  </si>
  <si>
    <t>3509081112180004</t>
  </si>
  <si>
    <t>0002662899107</t>
  </si>
  <si>
    <t>19053968491</t>
  </si>
  <si>
    <t>089521659405</t>
  </si>
  <si>
    <t>zairiganteng63@gmail.com</t>
  </si>
  <si>
    <t>Jln Taman Giri</t>
  </si>
  <si>
    <t>081337004330</t>
  </si>
  <si>
    <t>1217.1260</t>
  </si>
  <si>
    <t>1260</t>
  </si>
  <si>
    <t>I Putu Agus Stiawan</t>
  </si>
  <si>
    <t>gianyar</t>
  </si>
  <si>
    <t>Br. Kutuh Kelod, Petulu Ubud, Gianyar</t>
  </si>
  <si>
    <t>5104052108910000</t>
  </si>
  <si>
    <t>081999017021</t>
  </si>
  <si>
    <t>Kamaludin_1</t>
  </si>
  <si>
    <t>Benteng Utara</t>
  </si>
  <si>
    <t>5203051607930000</t>
  </si>
  <si>
    <t>082 339 058 128</t>
  </si>
  <si>
    <t>Jl. Narakesuma Gg. 12 No.4, Sumerta Kelod Denpasar</t>
  </si>
  <si>
    <t>(087 781 571 132)</t>
  </si>
  <si>
    <t>David Purnawan</t>
  </si>
  <si>
    <t>3510081712960004</t>
  </si>
  <si>
    <t>085 814 282 197</t>
  </si>
  <si>
    <t>Jalan Imam Bonjol Gg Ulun Danu 18 dps</t>
  </si>
  <si>
    <t>Andika Putra Hartana</t>
  </si>
  <si>
    <t>Perum Nuansa Penatih Blok B Br.Poh Manis,Denpasar Timur</t>
  </si>
  <si>
    <t>5171021708990001</t>
  </si>
  <si>
    <t>0001577515779</t>
  </si>
  <si>
    <t>19014360507</t>
  </si>
  <si>
    <t>087866225780</t>
  </si>
  <si>
    <t>andikaputrahartana99@gmail.com</t>
  </si>
  <si>
    <t>Jl. Naga Sari Perum.Nuansa Penatih</t>
  </si>
  <si>
    <t>087855596185</t>
  </si>
  <si>
    <t>0118.1263</t>
  </si>
  <si>
    <t>1263</t>
  </si>
  <si>
    <t>Raya Arista Safitri</t>
  </si>
  <si>
    <t>Dusun Krajan I, RT 003, RW 004, Gambiran-Banyuwangi</t>
  </si>
  <si>
    <t>3510075203940001</t>
  </si>
  <si>
    <t>082146214551</t>
  </si>
  <si>
    <t>Jl. Pulau Misol Gang I No.4, Denpasar.</t>
  </si>
  <si>
    <t>Ahmad Arif Sutikno</t>
  </si>
  <si>
    <t>Pejarakan</t>
  </si>
  <si>
    <t>Bd Marga garuda, pejarakan, gerokgak</t>
  </si>
  <si>
    <t>Belum kawin</t>
  </si>
  <si>
    <t>5108010810940001</t>
  </si>
  <si>
    <t>0002410287164</t>
  </si>
  <si>
    <t>20038182182</t>
  </si>
  <si>
    <t>alrifdoank950@gmail.com</t>
  </si>
  <si>
    <t>jalan buana kubu gg asem 1</t>
  </si>
  <si>
    <t>0118.1264</t>
  </si>
  <si>
    <t>1264</t>
  </si>
  <si>
    <t>I Nyoman Suartana</t>
  </si>
  <si>
    <t>ulakan</t>
  </si>
  <si>
    <t>Ulakan Br. Dinas Tengah</t>
  </si>
  <si>
    <t>5107032509900001</t>
  </si>
  <si>
    <t>081999434767</t>
  </si>
  <si>
    <t>Jl. Ketut Bal No. 19 Tegal Jaya Dalung</t>
  </si>
  <si>
    <t>Bagus Ahmad Saifulloh</t>
  </si>
  <si>
    <t>tabanan</t>
  </si>
  <si>
    <t>Br. Denbantas Gg. Permatasari</t>
  </si>
  <si>
    <t>5102051308990004</t>
  </si>
  <si>
    <t>085 238 936 387</t>
  </si>
  <si>
    <t>Jl. Banjar Denbatas gg Permatasari</t>
  </si>
  <si>
    <t>Bapak (087 803 895 264)</t>
  </si>
  <si>
    <t>Ibnu Syafiq Abdullah</t>
  </si>
  <si>
    <t>Ende</t>
  </si>
  <si>
    <t>Jl Kesehatan, Bokasape, Wolowaru Ende</t>
  </si>
  <si>
    <t>5308081401980001</t>
  </si>
  <si>
    <t>5308083005110046</t>
  </si>
  <si>
    <t>0002109822298</t>
  </si>
  <si>
    <t>19032174799</t>
  </si>
  <si>
    <t>085337083143</t>
  </si>
  <si>
    <t>ibikibnu14@gmail.com</t>
  </si>
  <si>
    <t>pondok MB2 ruco no 12 BTN Hartako jaya, perintis kemerdekaan KM9, tamalanrea</t>
  </si>
  <si>
    <t>0218.1266</t>
  </si>
  <si>
    <t>1266</t>
  </si>
  <si>
    <t>I Gede Adi Widiantara</t>
  </si>
  <si>
    <t>Tukad Sumaga</t>
  </si>
  <si>
    <t>Dusun Buluh, Tkd Sumaga, Kec. Gerokgak, Buleleng. Bali.</t>
  </si>
  <si>
    <t>5108010911980000</t>
  </si>
  <si>
    <t>085333235253</t>
  </si>
  <si>
    <t>Jl. Akasia Gang II No.12</t>
  </si>
  <si>
    <t>Ni Luh Putu Siti Sundari</t>
  </si>
  <si>
    <t>yangapi</t>
  </si>
  <si>
    <t>BR. Tegal Kepuh</t>
  </si>
  <si>
    <t>5102067004960000</t>
  </si>
  <si>
    <t>081 907 543 413</t>
  </si>
  <si>
    <t>Suami (087 861 743 029)</t>
  </si>
  <si>
    <t>Ronald Andika Putra</t>
  </si>
  <si>
    <t>Kalimas baru II no 21 A Surabaya</t>
  </si>
  <si>
    <t>3578122904990002</t>
  </si>
  <si>
    <t>081236002021</t>
  </si>
  <si>
    <t>Jalan Taman Sari No 1</t>
  </si>
  <si>
    <t>Ni Putu Apsari Dewi</t>
  </si>
  <si>
    <t>badung</t>
  </si>
  <si>
    <t>5103026505950011</t>
  </si>
  <si>
    <t>081999499268</t>
  </si>
  <si>
    <t>Br. Guming Desa Penarungan Kec.Mengwi</t>
  </si>
  <si>
    <t>Fatah Abdor Rohman</t>
  </si>
  <si>
    <t>Dusun gumuksari, nogosari, rambipuji, jember</t>
  </si>
  <si>
    <t>3509132407980002</t>
  </si>
  <si>
    <t>3509131312110009</t>
  </si>
  <si>
    <t>0002921325478</t>
  </si>
  <si>
    <t>19080964752</t>
  </si>
  <si>
    <t>082144882997</t>
  </si>
  <si>
    <t>fatahrohman98@gmail.com</t>
  </si>
  <si>
    <t>jl pulau biaknog denpasar barat</t>
  </si>
  <si>
    <t>085130317380 bapak</t>
  </si>
  <si>
    <t>0318.1269</t>
  </si>
  <si>
    <t>1269</t>
  </si>
  <si>
    <t>Yusansius Janggu</t>
  </si>
  <si>
    <t>ntram</t>
  </si>
  <si>
    <t>NTT</t>
  </si>
  <si>
    <t>5319042909970001</t>
  </si>
  <si>
    <t>081 237 853 943</t>
  </si>
  <si>
    <t>Jalan Kenyeri, Gg Anggrek Gatsu Timur</t>
  </si>
  <si>
    <t>Kakak (089 702 510 66)</t>
  </si>
  <si>
    <t>Asrini Fatma</t>
  </si>
  <si>
    <t>Jalan H. Jusin RT. 09/04 Susukan Ciracas Jakarta Timur</t>
  </si>
  <si>
    <t>3175094811900001</t>
  </si>
  <si>
    <t>087776318144</t>
  </si>
  <si>
    <t>Jalan Tukad Irawadi Gang XXV Panjer Denpasar Selatan</t>
  </si>
  <si>
    <t>Martinianus Mardin</t>
  </si>
  <si>
    <t>Wangkar</t>
  </si>
  <si>
    <t>Taga , Tiwu Kondo , Elar , NTT</t>
  </si>
  <si>
    <t>5319050107820044</t>
  </si>
  <si>
    <t>5319052901180001</t>
  </si>
  <si>
    <t>0002662327539</t>
  </si>
  <si>
    <t>19032174708</t>
  </si>
  <si>
    <t>082339634004</t>
  </si>
  <si>
    <t>martinianusmardin@gmail.com</t>
  </si>
  <si>
    <t>Jl. Kapten Japa Gg I no.4D</t>
  </si>
  <si>
    <t>082145963161</t>
  </si>
  <si>
    <t>0318.1271</t>
  </si>
  <si>
    <t>1271</t>
  </si>
  <si>
    <t xml:space="preserve">Aprianto </t>
  </si>
  <si>
    <t>kertasari</t>
  </si>
  <si>
    <t>Dusun LB Kertasari</t>
  </si>
  <si>
    <t>5207020507950003</t>
  </si>
  <si>
    <t>085338898684</t>
  </si>
  <si>
    <t>Jalan Cargo Permai Ubung Denpasar</t>
  </si>
  <si>
    <t>I Komang Putra Pratangkas</t>
  </si>
  <si>
    <t>Jalan Werkudara Gg. II No 9 Denpasar</t>
  </si>
  <si>
    <t>5171040410930001</t>
  </si>
  <si>
    <t>089 670 369 206</t>
  </si>
  <si>
    <t>Istri (089 536 435 8117)</t>
  </si>
  <si>
    <t>Alya Gaitsha</t>
  </si>
  <si>
    <t>Lenek</t>
  </si>
  <si>
    <t>Gubuk Bejo RT02RW03</t>
  </si>
  <si>
    <t>5203096203970002</t>
  </si>
  <si>
    <t>5203093005120060</t>
  </si>
  <si>
    <t>0002817145719</t>
  </si>
  <si>
    <t>19032174880</t>
  </si>
  <si>
    <t>085238133473</t>
  </si>
  <si>
    <t>getsya97alya@gmail.com</t>
  </si>
  <si>
    <t>Jl Rajawali3 gang nener no 5, Mataram</t>
  </si>
  <si>
    <t>085274959858(kakak)</t>
  </si>
  <si>
    <t>0318.1273</t>
  </si>
  <si>
    <t>1273</t>
  </si>
  <si>
    <t>Zulfi Nur Dani</t>
  </si>
  <si>
    <t>Jalan Raya Pemogan Kampung Islam Kepaon</t>
  </si>
  <si>
    <t>5171010506950003</t>
  </si>
  <si>
    <t>089521206298</t>
  </si>
  <si>
    <t>Fransiskus Soro</t>
  </si>
  <si>
    <t>ruto</t>
  </si>
  <si>
    <t>Ruto</t>
  </si>
  <si>
    <t>5309200906760001</t>
  </si>
  <si>
    <t>082 146 567 382</t>
  </si>
  <si>
    <t>Jalan Rahayu Gg 10 No.1</t>
  </si>
  <si>
    <t>Istri (081 338 635 192)</t>
  </si>
  <si>
    <t>Muhammad Junaidi</t>
  </si>
  <si>
    <t>Gerintuk</t>
  </si>
  <si>
    <t>Gereneng, sakra timur</t>
  </si>
  <si>
    <t>5203183112970151</t>
  </si>
  <si>
    <t>5203180908100013</t>
  </si>
  <si>
    <t>ktp bermasalah</t>
  </si>
  <si>
    <t>087860845975</t>
  </si>
  <si>
    <t>junaidiyjunet1996@gmail.com</t>
  </si>
  <si>
    <t>Jl ceruring gg 7 no 1</t>
  </si>
  <si>
    <t>MA Bahasa</t>
  </si>
  <si>
    <t>081907272211 Teman</t>
  </si>
  <si>
    <t>0418.1276</t>
  </si>
  <si>
    <t>1276</t>
  </si>
  <si>
    <t>Gusti Putu Teddy Hartady</t>
  </si>
  <si>
    <t>Banjar Kepuh, Mendoyo Dauh Tukad, Jembrana Bali</t>
  </si>
  <si>
    <t>5101021006980001</t>
  </si>
  <si>
    <t>5101020305090427</t>
  </si>
  <si>
    <t>0001163064565</t>
  </si>
  <si>
    <t>082341699130</t>
  </si>
  <si>
    <t>teddyajacukup@yahoo.com</t>
  </si>
  <si>
    <t>JL Danau Tondano no44</t>
  </si>
  <si>
    <t>SMK TKJ</t>
  </si>
  <si>
    <t>088224785718</t>
  </si>
  <si>
    <t>0418.1275</t>
  </si>
  <si>
    <t>1275</t>
  </si>
  <si>
    <t>Mobiling Staff</t>
  </si>
  <si>
    <t>Ondong Andika Daeng Pataang</t>
  </si>
  <si>
    <t xml:space="preserve">Dsn Lab Kertasari </t>
  </si>
  <si>
    <t>5207021808840001</t>
  </si>
  <si>
    <t>085238704599</t>
  </si>
  <si>
    <t>Jalan Angsoka, Cargo Permai Ubung Denpasar</t>
  </si>
  <si>
    <t>I Komang Semara Dana Putra</t>
  </si>
  <si>
    <t>Jl Cokroaminoto, Gg anggrek Bulan No.2 BR, Ubung, Denpasar Utara</t>
  </si>
  <si>
    <t>5171042304000005</t>
  </si>
  <si>
    <t>5171040706170012</t>
  </si>
  <si>
    <t>0002107335622</t>
  </si>
  <si>
    <t>19014360549</t>
  </si>
  <si>
    <t>083115943429</t>
  </si>
  <si>
    <t>semaradana420@gmail.com</t>
  </si>
  <si>
    <t>Jl Hos Cokroaminoto, Gg Anggrek Bul;an, No 3</t>
  </si>
  <si>
    <t>0881239356560 (Kakak)</t>
  </si>
  <si>
    <t>0418.1277</t>
  </si>
  <si>
    <t>1277</t>
  </si>
  <si>
    <t>Putu Agus Wiantara</t>
  </si>
  <si>
    <t>Br Taman Gubug Tabanan</t>
  </si>
  <si>
    <t>510803105990002</t>
  </si>
  <si>
    <t>083 857 990 716</t>
  </si>
  <si>
    <t>Jl. Pantai Yeh Gangga, Gubug Tabanan</t>
  </si>
  <si>
    <t>Adik (083 117 756 569)</t>
  </si>
  <si>
    <t>Iqbal Maulana</t>
  </si>
  <si>
    <t>Jl. Gajah Mada VI/27 Jember,Kaliwates</t>
  </si>
  <si>
    <t>3509192407950001</t>
  </si>
  <si>
    <t>0002936520742</t>
  </si>
  <si>
    <t>19032174898</t>
  </si>
  <si>
    <t>0895410965550</t>
  </si>
  <si>
    <t>iqbalmaulana071995@gmail.com</t>
  </si>
  <si>
    <t>Jl. Jaya Giri Utara No.3</t>
  </si>
  <si>
    <t>SMK Mesin</t>
  </si>
  <si>
    <t>08883092355</t>
  </si>
  <si>
    <t>0418.1280</t>
  </si>
  <si>
    <t>1280</t>
  </si>
  <si>
    <t>Teknisi</t>
  </si>
  <si>
    <t>Kadek Widiasa</t>
  </si>
  <si>
    <t>Penarukan</t>
  </si>
  <si>
    <t>Jl. Pulau irian</t>
  </si>
  <si>
    <t>5108060505990006</t>
  </si>
  <si>
    <t>5108061604120028</t>
  </si>
  <si>
    <t>0002113103812</t>
  </si>
  <si>
    <t>19032174864</t>
  </si>
  <si>
    <t>083115936764</t>
  </si>
  <si>
    <t>kadekwidiasa16@gmail.com</t>
  </si>
  <si>
    <t>Jl. P IRIAN SGR</t>
  </si>
  <si>
    <t>0418.1285</t>
  </si>
  <si>
    <t>1285</t>
  </si>
  <si>
    <t>I Gusti Agung Dodi Adnyana</t>
  </si>
  <si>
    <t>Lokapaksa</t>
  </si>
  <si>
    <t>BANJAR DINAS KEMBANG</t>
  </si>
  <si>
    <t>5108021502960004</t>
  </si>
  <si>
    <t>5108022812060079</t>
  </si>
  <si>
    <t>0000824749492</t>
  </si>
  <si>
    <t>19032174823</t>
  </si>
  <si>
    <t>081936561681</t>
  </si>
  <si>
    <t>adnyanadodi96@gmail.com</t>
  </si>
  <si>
    <t>Br. Kembang sari, Ds Lokapaksa</t>
  </si>
  <si>
    <t>0418.1284</t>
  </si>
  <si>
    <t>1284</t>
  </si>
  <si>
    <t>Priska Yuliana Paat</t>
  </si>
  <si>
    <t>celukan bawang</t>
  </si>
  <si>
    <t>Banjar Dinas Munduk Sari Pengulon</t>
  </si>
  <si>
    <t>5108015407960001</t>
  </si>
  <si>
    <t>085338861886</t>
  </si>
  <si>
    <t>BTN Kerobokan Permai Blok B1 Singaraja</t>
  </si>
  <si>
    <t>Kadek Joni Indrawan</t>
  </si>
  <si>
    <t>bungkulan</t>
  </si>
  <si>
    <t>Banjar Dinas Dauh Munduk Bungkulan</t>
  </si>
  <si>
    <t>5108071406930003</t>
  </si>
  <si>
    <t>083115407440</t>
  </si>
  <si>
    <t>Kakak (083 115 407 468)</t>
  </si>
  <si>
    <t>Ni Made Sudarmini</t>
  </si>
  <si>
    <t xml:space="preserve">Jl. Setia Budi Gg Cempaka </t>
  </si>
  <si>
    <t xml:space="preserve">Kawin </t>
  </si>
  <si>
    <t>5108066703910001</t>
  </si>
  <si>
    <t>5108063007120027</t>
  </si>
  <si>
    <t>72.561.647.8-902.000</t>
  </si>
  <si>
    <t>0001197434485</t>
  </si>
  <si>
    <t>19032174831</t>
  </si>
  <si>
    <t>081933073689</t>
  </si>
  <si>
    <t>sudarmini270@gmail.com</t>
  </si>
  <si>
    <t>Jl. Setia Budi Gg Cempaka, Penarukan singaraja</t>
  </si>
  <si>
    <t>0418.1281</t>
  </si>
  <si>
    <t>1281</t>
  </si>
  <si>
    <t>Ni Kadek Mia Wulandari</t>
  </si>
  <si>
    <t>Br.Nyelati</t>
  </si>
  <si>
    <t>Br. Nyelati Ds. Kuwum</t>
  </si>
  <si>
    <t>085 792 924 586</t>
  </si>
  <si>
    <t>Jl. Tukad Badung 2 No.17</t>
  </si>
  <si>
    <t>Orangtua (085 339 330 112)</t>
  </si>
  <si>
    <t>Komang Arnaya</t>
  </si>
  <si>
    <t>Kemoning</t>
  </si>
  <si>
    <t>Banjar dinas kemoning</t>
  </si>
  <si>
    <t>5108031603000004</t>
  </si>
  <si>
    <t>083 114 391 982</t>
  </si>
  <si>
    <t>Jalan Jayagiri VII No.4 Renon</t>
  </si>
  <si>
    <t>Kakak (087 861 916 532)</t>
  </si>
  <si>
    <t>Baihaqi Alkaf</t>
  </si>
  <si>
    <t>jl maruti no 9, dauh puri kaja, denpasar utara</t>
  </si>
  <si>
    <t>5171040606970002</t>
  </si>
  <si>
    <t>0001421743004</t>
  </si>
  <si>
    <t>20013976160</t>
  </si>
  <si>
    <t>alkafbaihaqi@gmail.com</t>
  </si>
  <si>
    <t>jln maruti no 9</t>
  </si>
  <si>
    <t>0518.1288</t>
  </si>
  <si>
    <t>1288</t>
  </si>
  <si>
    <t>Sohibul Wardi</t>
  </si>
  <si>
    <t>Dasan Tereng</t>
  </si>
  <si>
    <t>Dasan Tereng Lombok Timur</t>
  </si>
  <si>
    <t>5203172707940006</t>
  </si>
  <si>
    <t>082 247 552 367</t>
  </si>
  <si>
    <t>Jl. Tukad Pancoran IV Gang 3 Panjer</t>
  </si>
  <si>
    <t>Kakak (081 933 090 970)</t>
  </si>
  <si>
    <t>Fatoni Hidayatulloh</t>
  </si>
  <si>
    <t>Lombok Tengah</t>
  </si>
  <si>
    <t>5202093112990045</t>
  </si>
  <si>
    <t>087763022953</t>
  </si>
  <si>
    <t>Jl. Resimuka Barat 99 X</t>
  </si>
  <si>
    <t>kakak (081999518883)</t>
  </si>
  <si>
    <t>Maya Resti Wijaya</t>
  </si>
  <si>
    <t>Jl. Flores Blok L3, Nusaloka BSD City, Tangerang</t>
  </si>
  <si>
    <t>3173085402810001</t>
  </si>
  <si>
    <t xml:space="preserve">087 809 971 758 </t>
  </si>
  <si>
    <t>Jl. Jayagiri XI No.2, Denpasar</t>
  </si>
  <si>
    <t>Adik (081 909 000 080)</t>
  </si>
  <si>
    <t>Nyoman Adi Wikrama</t>
  </si>
  <si>
    <t>Batur Utara</t>
  </si>
  <si>
    <t>5106042809990004</t>
  </si>
  <si>
    <t>087863040471</t>
  </si>
  <si>
    <t>Jl. Gn. Sanghyang Gg. Siwa Loka</t>
  </si>
  <si>
    <t>I Kadek Suardika</t>
  </si>
  <si>
    <t>Padang Bay</t>
  </si>
  <si>
    <t xml:space="preserve">Karangasem </t>
  </si>
  <si>
    <t>5107030209980001</t>
  </si>
  <si>
    <t>087861851405</t>
  </si>
  <si>
    <t>Perum Dalung Permai</t>
  </si>
  <si>
    <t>Imam Busyairi</t>
  </si>
  <si>
    <t>DUSUN PLOSOREJO</t>
  </si>
  <si>
    <t>3510061508980002</t>
  </si>
  <si>
    <t>3510061010057509</t>
  </si>
  <si>
    <t>19032174856</t>
  </si>
  <si>
    <t>085232492356</t>
  </si>
  <si>
    <t>imambusyairi553@gmail.com</t>
  </si>
  <si>
    <t>JLN Jalak Putih 1, Kelurahan banyu asri</t>
  </si>
  <si>
    <t>0518.1292</t>
  </si>
  <si>
    <t>1292</t>
  </si>
  <si>
    <t>Ni Wayan Ekayani</t>
  </si>
  <si>
    <t>Banjar Buayang</t>
  </si>
  <si>
    <t>Br Dinas Lenganan, Bajera Utara, Selemadeg, Tabanan</t>
  </si>
  <si>
    <t>5106026112920001</t>
  </si>
  <si>
    <t>5102013011150005</t>
  </si>
  <si>
    <t>98.161.830.9-907.000</t>
  </si>
  <si>
    <t>0001578866692</t>
  </si>
  <si>
    <t>17027056880</t>
  </si>
  <si>
    <t>087785382022</t>
  </si>
  <si>
    <t>yanie7666@gmail.com</t>
  </si>
  <si>
    <t>Jl Karang sari 3 no.4, Denpasar, Padang Sambian</t>
  </si>
  <si>
    <t>087854618971 (suami)</t>
  </si>
  <si>
    <t>0518.1295</t>
  </si>
  <si>
    <t>1295</t>
  </si>
  <si>
    <t>Anggi Pradana</t>
  </si>
  <si>
    <t>DSN DERWONO</t>
  </si>
  <si>
    <t>3510190101950001</t>
  </si>
  <si>
    <t>3510192911080128</t>
  </si>
  <si>
    <t>0002101602609</t>
  </si>
  <si>
    <t>19022700462</t>
  </si>
  <si>
    <t>087835342443</t>
  </si>
  <si>
    <t>anggikpradana01@gmail.com</t>
  </si>
  <si>
    <t>Perum. Dewi sri abian base, mengwi</t>
  </si>
  <si>
    <t>SMK akuntansi</t>
  </si>
  <si>
    <t>085850901884</t>
  </si>
  <si>
    <t>0518.1294</t>
  </si>
  <si>
    <t>1294</t>
  </si>
  <si>
    <t>Training Supervisor</t>
  </si>
  <si>
    <t>I Gusti Ngurah Agung Kesumadewa</t>
  </si>
  <si>
    <t>Br Menak Tulikup Gianyar</t>
  </si>
  <si>
    <t>5104032204980001</t>
  </si>
  <si>
    <t>0000822049558</t>
  </si>
  <si>
    <t>19053568475</t>
  </si>
  <si>
    <t>081916610201</t>
  </si>
  <si>
    <t>kesumadewaagung@gmail.com</t>
  </si>
  <si>
    <t>Br Menak, tulikup gianyar</t>
  </si>
  <si>
    <t>087766954470</t>
  </si>
  <si>
    <t>0518.1296</t>
  </si>
  <si>
    <t>1296</t>
  </si>
  <si>
    <t>Ni Made Hadi Utami</t>
  </si>
  <si>
    <t>Sanda</t>
  </si>
  <si>
    <t>Perum Puri Aseman Blok A No. 29A, Banjar Aseman Kawan</t>
  </si>
  <si>
    <t>5103066110960002</t>
  </si>
  <si>
    <t>5103061201100011</t>
  </si>
  <si>
    <t>84.066.636.6-906.000</t>
  </si>
  <si>
    <t>0001574866438</t>
  </si>
  <si>
    <t>17035338387</t>
  </si>
  <si>
    <t>0895606210946</t>
  </si>
  <si>
    <t>utamihadi9@gmail.com</t>
  </si>
  <si>
    <t>Perum Puri Aseman Blok A, No 29A, Br Aseman Kawan, Kuta Utara</t>
  </si>
  <si>
    <t>SMK Desain Busana</t>
  </si>
  <si>
    <t>081999937024 (Ibu)</t>
  </si>
  <si>
    <t>0518.1293</t>
  </si>
  <si>
    <t>1293</t>
  </si>
  <si>
    <t>Ni Komang Wanda Apriliani</t>
  </si>
  <si>
    <t>Banjar Dinas Darma Karya, Bungaya, Bebandem Karangasem</t>
  </si>
  <si>
    <t>510706660490001</t>
  </si>
  <si>
    <t>085 238 300 061</t>
  </si>
  <si>
    <t>Jl. Tukad Irawadi No. 30 Panjer</t>
  </si>
  <si>
    <t>Suami (085 738 482 745)</t>
  </si>
  <si>
    <t>Agus Prianto</t>
  </si>
  <si>
    <t>Jl. Kesari No 3 Denpasar</t>
  </si>
  <si>
    <t>5171012006970010</t>
  </si>
  <si>
    <t>087 865 947 244</t>
  </si>
  <si>
    <t>Jl. Danau Tamblingan No. 156 Sanur</t>
  </si>
  <si>
    <t>Sepupu (089 534 291 0414)</t>
  </si>
  <si>
    <t>Dian Septiana Thalia</t>
  </si>
  <si>
    <t>Talang Arah</t>
  </si>
  <si>
    <t>Jl Mawar dusun 111 desa talang arah, bengkulu utara</t>
  </si>
  <si>
    <t>1703146901000001</t>
  </si>
  <si>
    <t>0000329352535</t>
  </si>
  <si>
    <t>19032174740</t>
  </si>
  <si>
    <t>dsepthalia@gmail.com</t>
  </si>
  <si>
    <t>0518.1299</t>
  </si>
  <si>
    <t>1299</t>
  </si>
  <si>
    <t>Imam Wahyu Utomo</t>
  </si>
  <si>
    <t>Dsn. Sampangan , Kedungrejo , Muncar , Banyuwangi</t>
  </si>
  <si>
    <t>3510051010000008</t>
  </si>
  <si>
    <t>3510050810059779</t>
  </si>
  <si>
    <t>0002293332939</t>
  </si>
  <si>
    <t>19014360531</t>
  </si>
  <si>
    <t>085204305721</t>
  </si>
  <si>
    <t>imamwahyuutomo8@gmail.com</t>
  </si>
  <si>
    <t>Jl. Patih Nambi Utara</t>
  </si>
  <si>
    <t>085257239070</t>
  </si>
  <si>
    <t>0518.1300</t>
  </si>
  <si>
    <t>1300</t>
  </si>
  <si>
    <t>Candra Asmara</t>
  </si>
  <si>
    <t>Jl Anggrek GG 1b/14 tabanan, dauh peken, Tabanan</t>
  </si>
  <si>
    <t>3510140604970003</t>
  </si>
  <si>
    <t>5102052110190002</t>
  </si>
  <si>
    <t>0002467731543</t>
  </si>
  <si>
    <t>19014360515</t>
  </si>
  <si>
    <t>087861136802</t>
  </si>
  <si>
    <t>candrasmara10@gmail.com</t>
  </si>
  <si>
    <t>JL. ANGGREK GG IB,14, TABANAN</t>
  </si>
  <si>
    <t>0518.1302</t>
  </si>
  <si>
    <t>1302</t>
  </si>
  <si>
    <t>I Made Dwi Sastra</t>
  </si>
  <si>
    <t>5171020509970003</t>
  </si>
  <si>
    <t>081 338 930 359</t>
  </si>
  <si>
    <t>Jl. Kapten Japa Gg. Ciungwanara III No.6, Denpasar</t>
  </si>
  <si>
    <t>Teman (081 237 117 025)</t>
  </si>
  <si>
    <t>I Gusti Ayu Wiwik Cahyani</t>
  </si>
  <si>
    <t>Br. Menak, Desa Tulikup, Gianyar</t>
  </si>
  <si>
    <t>5104035301950002</t>
  </si>
  <si>
    <t>085737600277</t>
  </si>
  <si>
    <t>Feri Irawan</t>
  </si>
  <si>
    <t>Aramiyah</t>
  </si>
  <si>
    <t>Dusun Bina Harapan, Aceh</t>
  </si>
  <si>
    <t>1103040201970002</t>
  </si>
  <si>
    <t>085262229949</t>
  </si>
  <si>
    <t xml:space="preserve">Jl. Cok Rai Pudak, Ubud </t>
  </si>
  <si>
    <t>Ni Kadek Eni Tika Citra Dewi</t>
  </si>
  <si>
    <t>Br. Dinas Kaja</t>
  </si>
  <si>
    <t>6108036405930001</t>
  </si>
  <si>
    <t>087865736763</t>
  </si>
  <si>
    <t xml:space="preserve">Jl. Imam Bonjol, Gg. Nyuh Bulan </t>
  </si>
  <si>
    <t>Komang Rudy Adnyana</t>
  </si>
  <si>
    <t>Tinga Tinga</t>
  </si>
  <si>
    <t>Bd mertasari, Tinga-tinga Gerokgak</t>
  </si>
  <si>
    <t xml:space="preserve">Belum Kawin </t>
  </si>
  <si>
    <t>5108010707960003</t>
  </si>
  <si>
    <t>5108010205110008</t>
  </si>
  <si>
    <t>0000825449872</t>
  </si>
  <si>
    <t>19072120348</t>
  </si>
  <si>
    <t>081944806572</t>
  </si>
  <si>
    <t>gusmankrudhi@gmail.com</t>
  </si>
  <si>
    <t>br pagutan kebo iwa dps</t>
  </si>
  <si>
    <t>081238162034(ayah)</t>
  </si>
  <si>
    <t>0618.1306</t>
  </si>
  <si>
    <t>1306</t>
  </si>
  <si>
    <t>I Nyoman Febrianto Wisnu Wardhana</t>
  </si>
  <si>
    <t>Jepara</t>
  </si>
  <si>
    <t>Jl.Gunung Agung Gg. Bumi Ayu R No.9 Br. Kertha Dhar , Pemecutan , Denpasar Barat</t>
  </si>
  <si>
    <t>3320062702980004</t>
  </si>
  <si>
    <t>5171030111120031</t>
  </si>
  <si>
    <t>0001276668472</t>
  </si>
  <si>
    <t>19080964588</t>
  </si>
  <si>
    <t>087861714741</t>
  </si>
  <si>
    <t>febrianwisnu392@gmail.com</t>
  </si>
  <si>
    <t>Jl. Gunung Agung Gang Bumi Ayu R</t>
  </si>
  <si>
    <t>0618.1307</t>
  </si>
  <si>
    <t>1307</t>
  </si>
  <si>
    <t>Maudilla Anwar Putri</t>
  </si>
  <si>
    <t>Jl. Anggrek Gg. I B/14 Tabanan</t>
  </si>
  <si>
    <t>5102056807970002</t>
  </si>
  <si>
    <t>081 557 752 99</t>
  </si>
  <si>
    <t>Orang Tua (087 862 022 776)</t>
  </si>
  <si>
    <t>Andik Eko Hermanto</t>
  </si>
  <si>
    <t>Jl. Resimuka Barat I No. II A</t>
  </si>
  <si>
    <t>5171030211930002</t>
  </si>
  <si>
    <t>082 161 884 751</t>
  </si>
  <si>
    <t>Jl. Indrakila Ujung 1 No. 9</t>
  </si>
  <si>
    <t>Adik (081 937 387 663)</t>
  </si>
  <si>
    <t>Vitalis Agung</t>
  </si>
  <si>
    <t>Lentang</t>
  </si>
  <si>
    <t>lentang, lelak, manggarai</t>
  </si>
  <si>
    <t>5310150811960001</t>
  </si>
  <si>
    <t>5310152008100384</t>
  </si>
  <si>
    <t>20038182174</t>
  </si>
  <si>
    <t>arlanagung100@gmail.com</t>
  </si>
  <si>
    <t>jl taman giri asri</t>
  </si>
  <si>
    <t>0618.1310</t>
  </si>
  <si>
    <t>I Putu Eka Gunawan Martha</t>
  </si>
  <si>
    <t>Jl tukad irawadi gg 18x no 22, Panjer, denpasar selatan</t>
  </si>
  <si>
    <t>5171012109910001</t>
  </si>
  <si>
    <t>5171012906170002</t>
  </si>
  <si>
    <t>0001162968219</t>
  </si>
  <si>
    <t>19032174815</t>
  </si>
  <si>
    <t>082144044242</t>
  </si>
  <si>
    <t>celuk2013@gmail.com</t>
  </si>
  <si>
    <t>JL TUKAD IRAWADI GG 18X NO 22</t>
  </si>
  <si>
    <t>S1 SASTRA DAERAH</t>
  </si>
  <si>
    <t>0718.1311</t>
  </si>
  <si>
    <t>Wahfiudin Wabarok Alim</t>
  </si>
  <si>
    <t>Dusun Rowo Tengu RT3 RW8, Sidomulyo, Semboro</t>
  </si>
  <si>
    <t>3509070201000005</t>
  </si>
  <si>
    <t>3509070504120001</t>
  </si>
  <si>
    <t>0002662330847</t>
  </si>
  <si>
    <t>19032174757</t>
  </si>
  <si>
    <t>082332490528</t>
  </si>
  <si>
    <t>wahfiudinwabarok12@gmail.com</t>
  </si>
  <si>
    <t>Jln gn Andakasa gg raflesia no 21</t>
  </si>
  <si>
    <t>085333586343</t>
  </si>
  <si>
    <t>0718.1312</t>
  </si>
  <si>
    <t>Dimas Pratama</t>
  </si>
  <si>
    <t>DK Nganti, 019/006, Nganti Ngraho, Jawa Timur</t>
  </si>
  <si>
    <t>3522010906000002</t>
  </si>
  <si>
    <t>3522011701075080</t>
  </si>
  <si>
    <t>0000745524911</t>
  </si>
  <si>
    <t>19032174807</t>
  </si>
  <si>
    <t>085737102884</t>
  </si>
  <si>
    <t>dimasnjmx@gmail.com</t>
  </si>
  <si>
    <t>Jl Gunung Talang, No 6B, Padang Sambian</t>
  </si>
  <si>
    <t>082337022675 (kakak)</t>
  </si>
  <si>
    <t>0718.1313</t>
  </si>
  <si>
    <t>Dyah Putri Lestari</t>
  </si>
  <si>
    <t>DSN Kalirejo RT2RW1, Tulungrejo, Glenmore</t>
  </si>
  <si>
    <t>3510105501000006</t>
  </si>
  <si>
    <t>3510100302110030</t>
  </si>
  <si>
    <t>0000699373552</t>
  </si>
  <si>
    <t>19072120421</t>
  </si>
  <si>
    <t>085921222454</t>
  </si>
  <si>
    <t>dyah.putri1501@gmail.com</t>
  </si>
  <si>
    <t>JL Imam Bonjol GG Segina No 2 B</t>
  </si>
  <si>
    <t>085236631803(ayah)</t>
  </si>
  <si>
    <t>0718.1314</t>
  </si>
  <si>
    <t>I Made Hendra Gunawan</t>
  </si>
  <si>
    <t>Br. Bakung Sari Desa Ungasan Kec. Kuta Selatan</t>
  </si>
  <si>
    <t>5103050808940003</t>
  </si>
  <si>
    <t>087862342942</t>
  </si>
  <si>
    <t>Jalan Tundun Penyu No. 123 Br Bakung Sari, Ungasan, Kuta Selatan</t>
  </si>
  <si>
    <t>Deby Raditya Prasetyo</t>
  </si>
  <si>
    <t>Perum Multi Permai 11A, Sading MENGWI</t>
  </si>
  <si>
    <t>5103020504980005</t>
  </si>
  <si>
    <t>5103020611060094</t>
  </si>
  <si>
    <t>19072120272</t>
  </si>
  <si>
    <t>087856828741</t>
  </si>
  <si>
    <t>raditya127@gmail.com</t>
  </si>
  <si>
    <t>Perum Multi permai II A7 Sading</t>
  </si>
  <si>
    <t>087753917528</t>
  </si>
  <si>
    <t>0718.1315</t>
  </si>
  <si>
    <t>Putu Ayu Ratih Anggreni</t>
  </si>
  <si>
    <t>Jl. Arjuna No 20 Denpasar</t>
  </si>
  <si>
    <t>5171045910970003</t>
  </si>
  <si>
    <t>081529216664</t>
  </si>
  <si>
    <t>Jl. Trengguli Gang XVIII No.4</t>
  </si>
  <si>
    <t>Yudi Prasetyo</t>
  </si>
  <si>
    <t>Guntung Manggis</t>
  </si>
  <si>
    <t>Jl. Guntung Damar RT 012 RW 003 Desa Guntung Payung Kec. Landasan Ulin</t>
  </si>
  <si>
    <t>6372020312970003</t>
  </si>
  <si>
    <t>081 999 704 799</t>
  </si>
  <si>
    <t>Jl. Garuda Batubulan</t>
  </si>
  <si>
    <t>Paman (081 238 702 142)</t>
  </si>
  <si>
    <t>Ni Luh Putu Ana Antarini</t>
  </si>
  <si>
    <t>Br Padang Bali, Dalung, Kuta Utara</t>
  </si>
  <si>
    <t>5103065604950005</t>
  </si>
  <si>
    <t>5103062302070230</t>
  </si>
  <si>
    <t>19032174658</t>
  </si>
  <si>
    <t>081239201785</t>
  </si>
  <si>
    <t>putuanaantarini@icloud.com</t>
  </si>
  <si>
    <t>BR Padang Bali no 21 Dalung</t>
  </si>
  <si>
    <t>D1 Perhotelan</t>
  </si>
  <si>
    <t>081339310593</t>
  </si>
  <si>
    <t>0718.1318</t>
  </si>
  <si>
    <t>Moh Khoirun Ni'am</t>
  </si>
  <si>
    <t>Dusun Pohkecik Sukolilo Wajak Malang</t>
  </si>
  <si>
    <t>3507081509980001</t>
  </si>
  <si>
    <t>083 808 826 939</t>
  </si>
  <si>
    <t>Jl. Kertapura Gg. 6 No.28 B</t>
  </si>
  <si>
    <t>Teman (089 685 849 631)</t>
  </si>
  <si>
    <t>Saldy Mesang</t>
  </si>
  <si>
    <t>Sumba</t>
  </si>
  <si>
    <t>Bina Maliti, Kel. Pad Eweta Kec. W, Timur Tambolaka</t>
  </si>
  <si>
    <t>5318031806940001</t>
  </si>
  <si>
    <t>082 145 570 959</t>
  </si>
  <si>
    <t>Jl. Buana Raya Gg. Astiti No. 2</t>
  </si>
  <si>
    <t>Orang tua (081 337 541 507)</t>
  </si>
  <si>
    <t>I Komang Gede Putra</t>
  </si>
  <si>
    <t>Jl. Imam Bonjol Gg. IV No.1</t>
  </si>
  <si>
    <t>5171031503950006</t>
  </si>
  <si>
    <t>081 339 396 321</t>
  </si>
  <si>
    <t>Jl. Imam Bonjol Gg. IV NO.1</t>
  </si>
  <si>
    <t>Rumah (0361) 486 294</t>
  </si>
  <si>
    <t>Awaludin</t>
  </si>
  <si>
    <t>Kisaran</t>
  </si>
  <si>
    <t>Jalan gito-gati no 88</t>
  </si>
  <si>
    <t>1271122402790000</t>
  </si>
  <si>
    <t>3404121904120000</t>
  </si>
  <si>
    <t>0002662327473</t>
  </si>
  <si>
    <t>19032174724</t>
  </si>
  <si>
    <t>awaludinjordan@gmail.com</t>
  </si>
  <si>
    <t>Jln. Raya Sesetan No 236 Denpasar</t>
  </si>
  <si>
    <t>0818.1322</t>
  </si>
  <si>
    <t>Ni Kadek Nova Suardani Rahayu</t>
  </si>
  <si>
    <t>Br. Padang Bali, Desa Dalung Kec Kuta Utara</t>
  </si>
  <si>
    <t>5103065611950004</t>
  </si>
  <si>
    <t>085 792 455 277</t>
  </si>
  <si>
    <t>Br. Padang Bali, Dalung, Kuta Utara</t>
  </si>
  <si>
    <t>Orangtua (081 236 880 57)</t>
  </si>
  <si>
    <t xml:space="preserve">Luh Putu Dina Suwindan </t>
  </si>
  <si>
    <t xml:space="preserve">Jl. Pahlawan 15/C Br. Tegal Singaraja </t>
  </si>
  <si>
    <t>5108066312980006</t>
  </si>
  <si>
    <t>083 116 156 719</t>
  </si>
  <si>
    <t>Jl. Pahlawan No. 15 C</t>
  </si>
  <si>
    <t>Orangtua (081 237 168 718)</t>
  </si>
  <si>
    <t>Ni Kadek Ayu Puspayanti</t>
  </si>
  <si>
    <t>br pengeragoan dauh tukad, pekutatan</t>
  </si>
  <si>
    <t>5101036701000003</t>
  </si>
  <si>
    <t>5101032704090171</t>
  </si>
  <si>
    <t>0002411372777</t>
  </si>
  <si>
    <t>ayu04801@gmail.com</t>
  </si>
  <si>
    <t>JL SARI GADING NO 10</t>
  </si>
  <si>
    <t>0918.1325</t>
  </si>
  <si>
    <t>Agustin Darwin</t>
  </si>
  <si>
    <t>Meni</t>
  </si>
  <si>
    <t>Leleng, Desa Golo PariKecamatan Sambi Rampas</t>
  </si>
  <si>
    <t>5319042505980002</t>
  </si>
  <si>
    <t>082 247 211 462</t>
  </si>
  <si>
    <t>Jl. Nangka Selatan Gang Kenari IV</t>
  </si>
  <si>
    <t>Teman kos (082 144 821 486)</t>
  </si>
  <si>
    <t>Rehani</t>
  </si>
  <si>
    <t>Wanasaba</t>
  </si>
  <si>
    <t>Dusun Bale Belek, Desa Wanasaba Lauk</t>
  </si>
  <si>
    <t>5203144907920005</t>
  </si>
  <si>
    <t>085 288 935 949</t>
  </si>
  <si>
    <t>Jl. Pendidikan Suwung Denpasar - Bali</t>
  </si>
  <si>
    <t>Kakak Sepupu (081 703 451 721)</t>
  </si>
  <si>
    <t>Intan Fania</t>
  </si>
  <si>
    <t>Jl. P Sulawesi Gg II No 42</t>
  </si>
  <si>
    <t>5108065307990010</t>
  </si>
  <si>
    <t>5108063008100013</t>
  </si>
  <si>
    <t>0002662739684</t>
  </si>
  <si>
    <t>19046226759</t>
  </si>
  <si>
    <t>087760468884</t>
  </si>
  <si>
    <t>intanfania13@gmail.com</t>
  </si>
  <si>
    <t xml:space="preserve">Jln. Jalak Putih V Atas No 26, Kelurahan Banyuasri </t>
  </si>
  <si>
    <t>0918.1329</t>
  </si>
  <si>
    <t>Raymundus Pe Grahono</t>
  </si>
  <si>
    <t>Sambor</t>
  </si>
  <si>
    <t>Sambor,nggalak, reok Manggarai</t>
  </si>
  <si>
    <t>5310111109950001</t>
  </si>
  <si>
    <t>5310112708100222</t>
  </si>
  <si>
    <t>0002109815583</t>
  </si>
  <si>
    <t>19080964604</t>
  </si>
  <si>
    <t>082340611131</t>
  </si>
  <si>
    <t>pegrahonoraymundus@gmail.com</t>
  </si>
  <si>
    <t>jl gandapura gg gandapura 1</t>
  </si>
  <si>
    <t>082144619360 saudara</t>
  </si>
  <si>
    <t>0918.1330</t>
  </si>
  <si>
    <t>Galih Suganda</t>
  </si>
  <si>
    <t>GG Jempiring No 1A DPS, Ubung Denpasar Utara</t>
  </si>
  <si>
    <t>5171041602960006</t>
  </si>
  <si>
    <t>5171042803070292</t>
  </si>
  <si>
    <t>0002662899096</t>
  </si>
  <si>
    <t>19053968509</t>
  </si>
  <si>
    <t>0895800042477</t>
  </si>
  <si>
    <t>galihsuganda16@gmail.com</t>
  </si>
  <si>
    <t>Jl cokroaminoto gg jempiring no 1A</t>
  </si>
  <si>
    <t>085333182128 (ibu)</t>
  </si>
  <si>
    <t>0918.1331</t>
  </si>
  <si>
    <t>Redar Niaman Harefa</t>
  </si>
  <si>
    <t>Sisobahili</t>
  </si>
  <si>
    <t>Sisobahili,Namohalu,Namohalu Esiwa, Nias Utara</t>
  </si>
  <si>
    <t>1204120908930001</t>
  </si>
  <si>
    <t>1204121701080062</t>
  </si>
  <si>
    <t>0001490433298</t>
  </si>
  <si>
    <t>19072120389</t>
  </si>
  <si>
    <t>081337383451</t>
  </si>
  <si>
    <t>redarharefa1993@gmail.com</t>
  </si>
  <si>
    <t>jl padang sambian gg mawar</t>
  </si>
  <si>
    <t>SMK TGB</t>
  </si>
  <si>
    <t>0918.1333</t>
  </si>
  <si>
    <t>Daud Andi Lolo</t>
  </si>
  <si>
    <t>Reda Bola</t>
  </si>
  <si>
    <t>Rara mata, weri lolo, wewewa selatan, Sumba barat daya</t>
  </si>
  <si>
    <t>5318052505960001</t>
  </si>
  <si>
    <t>5318052408100002</t>
  </si>
  <si>
    <t>0000868149549</t>
  </si>
  <si>
    <t>19072120371</t>
  </si>
  <si>
    <t>andikadaud2505@gmail.com</t>
  </si>
  <si>
    <t>jalan gunung salak</t>
  </si>
  <si>
    <t>0918.1332</t>
  </si>
  <si>
    <t>Moh. Royhul Hamdani_1</t>
  </si>
  <si>
    <t xml:space="preserve">Jl. Rambutan Dusun Curah Waru, Gambirono-Bangsal Sari - Jember </t>
  </si>
  <si>
    <t>3509092107980003</t>
  </si>
  <si>
    <t>085 806 273 294</t>
  </si>
  <si>
    <t xml:space="preserve">Jl. Pulau Ayu </t>
  </si>
  <si>
    <t>Kakak Sepupu (082 370 181 638)</t>
  </si>
  <si>
    <t>Ni Komang Ayu Sugiari</t>
  </si>
  <si>
    <t xml:space="preserve"> Br Ked Taro Tegalalang</t>
  </si>
  <si>
    <t>510406670700003</t>
  </si>
  <si>
    <t>5104061105090035</t>
  </si>
  <si>
    <t>0002412966622</t>
  </si>
  <si>
    <t xml:space="preserve"> BU</t>
  </si>
  <si>
    <t>19053968483</t>
  </si>
  <si>
    <t>083114228421</t>
  </si>
  <si>
    <t>sugiariros410@gmail.com</t>
  </si>
  <si>
    <t>Br ked taro tegalalang</t>
  </si>
  <si>
    <t>087862023771</t>
  </si>
  <si>
    <t>1018.1335</t>
  </si>
  <si>
    <t>I Kd Wahyu Suryawan Dwi Putra</t>
  </si>
  <si>
    <t>Bangli, Dusun - Br. Sidawa</t>
  </si>
  <si>
    <t>5106022509000001</t>
  </si>
  <si>
    <t>081 558 074 876</t>
  </si>
  <si>
    <t>Orangtua (081 353 357 357)</t>
  </si>
  <si>
    <t>Muhamad Malik Aziz Alkutri</t>
  </si>
  <si>
    <t>Damarata</t>
  </si>
  <si>
    <t>Damarata, Kel. Paokmotong, Kec. Masbagik</t>
  </si>
  <si>
    <t>5203051909990010</t>
  </si>
  <si>
    <t>085 337 647 906</t>
  </si>
  <si>
    <t>Taman Sari 1, Kerobokan Kelod, Denbar</t>
  </si>
  <si>
    <t>Bibik (081 999 765 407)</t>
  </si>
  <si>
    <t>Sultoni Firmansyah</t>
  </si>
  <si>
    <t>Jl. P.Ambon GG. Marmut no 18 DPS Batu Bintang Denpasar</t>
  </si>
  <si>
    <t>5171030207930020</t>
  </si>
  <si>
    <t>5171031404070234</t>
  </si>
  <si>
    <t>19072120280</t>
  </si>
  <si>
    <t>089685674749</t>
  </si>
  <si>
    <t>tonifirmansyah20@gmail.com</t>
  </si>
  <si>
    <t>Jl P.ambon no 42 Denpasar</t>
  </si>
  <si>
    <t>S1 Manajemen IT</t>
  </si>
  <si>
    <t>089517845210</t>
  </si>
  <si>
    <t>1018.1338</t>
  </si>
  <si>
    <t>Training Asisten Supervsor</t>
  </si>
  <si>
    <t>Dian Rahman</t>
  </si>
  <si>
    <t>Tanjung Leidong</t>
  </si>
  <si>
    <t>Jl. Puskesmas, Ds. Tanjung Leidong, Kec. Kualuh Leidong</t>
  </si>
  <si>
    <t>1223020311950006</t>
  </si>
  <si>
    <t>082 359 501 557</t>
  </si>
  <si>
    <t>Jalan Graha Udayana Gang 1 No 5</t>
  </si>
  <si>
    <t>Teman (081 547 511 422)</t>
  </si>
  <si>
    <t>Wayan Nik Ami Ratna Sari</t>
  </si>
  <si>
    <t>Bali</t>
  </si>
  <si>
    <t>Tegalalang, Kawan Bangli</t>
  </si>
  <si>
    <t>7405034707930001</t>
  </si>
  <si>
    <t>5106020605190002</t>
  </si>
  <si>
    <t>0001251378415</t>
  </si>
  <si>
    <t>20038182265</t>
  </si>
  <si>
    <t>nika.chan77@gmail.com</t>
  </si>
  <si>
    <t>br tegal alang bangli</t>
  </si>
  <si>
    <t>1018.1341</t>
  </si>
  <si>
    <t>Badrun</t>
  </si>
  <si>
    <t>Tenges</t>
  </si>
  <si>
    <t>Batu Belo, Kel. Greneng, Kec. Sakra Timur</t>
  </si>
  <si>
    <t>5203181709940002</t>
  </si>
  <si>
    <t>085 936 573 213</t>
  </si>
  <si>
    <t>Rizal (081 918 211 179)</t>
  </si>
  <si>
    <t>Amri Aziz Nasution</t>
  </si>
  <si>
    <t>Jaranjang</t>
  </si>
  <si>
    <t>Dusun Jeranjang, Desa Tampaksiring, Kec. Datuk Eliang Lombok Tengah</t>
  </si>
  <si>
    <t>5202031007980001</t>
  </si>
  <si>
    <t>087 864 725 607</t>
  </si>
  <si>
    <t>Jimbaran</t>
  </si>
  <si>
    <t>Temen (081 946 363 607)</t>
  </si>
  <si>
    <t>I Putu Gede Suarjaya</t>
  </si>
  <si>
    <t>Banjar Kaliakah , Negara</t>
  </si>
  <si>
    <t>5101010607970009</t>
  </si>
  <si>
    <t>5101013005090384</t>
  </si>
  <si>
    <t>0002412023117</t>
  </si>
  <si>
    <t>19046226734</t>
  </si>
  <si>
    <t>081936865268</t>
  </si>
  <si>
    <t>puputtude11@gmail.com</t>
  </si>
  <si>
    <t>Jl. Gunung Mas</t>
  </si>
  <si>
    <t>D1 / Perhotelan</t>
  </si>
  <si>
    <t>081936383783</t>
  </si>
  <si>
    <t>1018.1343</t>
  </si>
  <si>
    <t>Adwin Wijaya</t>
  </si>
  <si>
    <t>Ujung pandang</t>
  </si>
  <si>
    <t>Jl. Pannampu, Desa Kalauku Bodoa, RT/RW 002/003</t>
  </si>
  <si>
    <t>7371070304910001</t>
  </si>
  <si>
    <t xml:space="preserve">085 646 911 040 </t>
  </si>
  <si>
    <t>Jl. Gunung Salak, Gang IX, Pondok Brata</t>
  </si>
  <si>
    <t>Kakak (085 792 578 587)</t>
  </si>
  <si>
    <t>I Kadek Supriadi S.Sos.H.</t>
  </si>
  <si>
    <t>Br. Tangkeban, Desa Batubulan Kangin, Sukawati</t>
  </si>
  <si>
    <t>5104012706920003</t>
  </si>
  <si>
    <t>083 114 623 922</t>
  </si>
  <si>
    <t xml:space="preserve">085 737 405 686 </t>
  </si>
  <si>
    <t xml:space="preserve">15 januari </t>
  </si>
  <si>
    <t>Ni Ketut Ari Ratna Sari</t>
  </si>
  <si>
    <t>Jl nangka GG kenari VIII No 37 DPS, Karangsari, Dangin Puri Kaja</t>
  </si>
  <si>
    <t>5171046903980005</t>
  </si>
  <si>
    <t>5171040506080002</t>
  </si>
  <si>
    <t>0001854464736</t>
  </si>
  <si>
    <t>19072120397</t>
  </si>
  <si>
    <t>08973179770</t>
  </si>
  <si>
    <t>ari.ratnaa@gmail.com</t>
  </si>
  <si>
    <t>jln nangka selatan gg kenari viii no 37</t>
  </si>
  <si>
    <t>SMK perhotelan</t>
  </si>
  <si>
    <t>081337562328</t>
  </si>
  <si>
    <t>1118.1346</t>
  </si>
  <si>
    <t>I Kadek Arista Yasa</t>
  </si>
  <si>
    <t>Jl. Cokroaminoto Gg anggrek bulan no 2 BR</t>
  </si>
  <si>
    <t>hindu</t>
  </si>
  <si>
    <t>5171042308930004</t>
  </si>
  <si>
    <t>5171040706170011</t>
  </si>
  <si>
    <t>0001387949962</t>
  </si>
  <si>
    <t>19046226742</t>
  </si>
  <si>
    <t>088219227450</t>
  </si>
  <si>
    <t>ariskadek310@gmail.com</t>
  </si>
  <si>
    <t>Jl. Cokroaminoto no 2</t>
  </si>
  <si>
    <t>Smk Listrik</t>
  </si>
  <si>
    <t>089654242987</t>
  </si>
  <si>
    <t>1118.1347</t>
  </si>
  <si>
    <t>Ali Muhammad Saikhoni</t>
  </si>
  <si>
    <t>Dusun Banharejo Tengah, 002/014, Sumber Agung, Jawa Timur</t>
  </si>
  <si>
    <t>3509030808930001</t>
  </si>
  <si>
    <t>3509030906110006</t>
  </si>
  <si>
    <t>0000692698487</t>
  </si>
  <si>
    <t>19072120955</t>
  </si>
  <si>
    <t>085815563615</t>
  </si>
  <si>
    <t>alijhonn89@gmail.com</t>
  </si>
  <si>
    <t>085730582990 (Ortu)</t>
  </si>
  <si>
    <t>1118.1348</t>
  </si>
  <si>
    <t>I Wayan Putra</t>
  </si>
  <si>
    <t>Jl. Siulan Br. Bekul Penatih Dps</t>
  </si>
  <si>
    <t>5171020410930004</t>
  </si>
  <si>
    <t>081 999 233 670</t>
  </si>
  <si>
    <t>087 857 174 528</t>
  </si>
  <si>
    <t>Farid Purwanti</t>
  </si>
  <si>
    <t>Jl Kh Achmad Dahlan RT5 RW2, Pohjentrek, Purworejo</t>
  </si>
  <si>
    <t>3508046903910001</t>
  </si>
  <si>
    <t>3575020404170003</t>
  </si>
  <si>
    <t>19072120214</t>
  </si>
  <si>
    <t>085792152003</t>
  </si>
  <si>
    <t>budybungsu04418@gmail.com</t>
  </si>
  <si>
    <t>JL MARGASENGKALA, SEMABAUNG, GIANYAR</t>
  </si>
  <si>
    <t>SLTA</t>
  </si>
  <si>
    <t>82237997615 ( SUAMI)</t>
  </si>
  <si>
    <t>1118.1350</t>
  </si>
  <si>
    <t>Novia Saputri Suntoro</t>
  </si>
  <si>
    <t>Kasreman 093, RT/RW 005/001, Balerejo</t>
  </si>
  <si>
    <t>3519104211900003</t>
  </si>
  <si>
    <t>087 860 168 442</t>
  </si>
  <si>
    <t>Jl. Gunung Karang III, Gg. Jenggala NO.8</t>
  </si>
  <si>
    <t>085 737 011 714 (Suami)</t>
  </si>
  <si>
    <t>Angga Febrianto</t>
  </si>
  <si>
    <t>KP, Masjid Jangkar</t>
  </si>
  <si>
    <t>3512121602920001</t>
  </si>
  <si>
    <t>3512120304120003</t>
  </si>
  <si>
    <t>anggacb92@gmail.com</t>
  </si>
  <si>
    <t>jl raya sesetan gg jalak blok b denpasar selatan</t>
  </si>
  <si>
    <t>1218.1353</t>
  </si>
  <si>
    <t>Risma Mentari</t>
  </si>
  <si>
    <t>Dusun Telogosari RT5 RW4, Jambewangi, Banyuwangi</t>
  </si>
  <si>
    <t>3510204605940002</t>
  </si>
  <si>
    <t>3510202010051097</t>
  </si>
  <si>
    <t>0002099148794</t>
  </si>
  <si>
    <t>19072120413</t>
  </si>
  <si>
    <t>081913908612</t>
  </si>
  <si>
    <t>rismamentari26@gmail.com</t>
  </si>
  <si>
    <t>br kwanji kelod sempidi</t>
  </si>
  <si>
    <t>085933794376(kakak)</t>
  </si>
  <si>
    <t>1218.1352</t>
  </si>
  <si>
    <t>I Made Surya Gunawan</t>
  </si>
  <si>
    <t>Jl. Buluh Indah GG. VII/7 Br.Kertasari,Denpasar Utara</t>
  </si>
  <si>
    <t>5171040109960005</t>
  </si>
  <si>
    <t>5171043107070091</t>
  </si>
  <si>
    <t>0001577965408</t>
  </si>
  <si>
    <t>19072120256</t>
  </si>
  <si>
    <t>081237300198</t>
  </si>
  <si>
    <t>suryagunawanimsg@yahoo.com</t>
  </si>
  <si>
    <t>Jl. Buluh Indah Gg. VII/7 Denpasar</t>
  </si>
  <si>
    <t>1218.1354</t>
  </si>
  <si>
    <t>R. Bagus Adi Wiranatha</t>
  </si>
  <si>
    <t xml:space="preserve">Jl Merpati GG X no 45, Denpasar Barat </t>
  </si>
  <si>
    <t>5171032103000003</t>
  </si>
  <si>
    <t>5171031807070435</t>
  </si>
  <si>
    <t>0001899508138</t>
  </si>
  <si>
    <t>082247012089</t>
  </si>
  <si>
    <t>bagusadiwiranatha01@gmail.com</t>
  </si>
  <si>
    <t>Jl Merpati GG X no 45 DPS</t>
  </si>
  <si>
    <t>SMK MM</t>
  </si>
  <si>
    <t>081315686333</t>
  </si>
  <si>
    <t>1218.1355</t>
  </si>
  <si>
    <t>Naufal Rivaldi</t>
  </si>
  <si>
    <t>Jl Nangka GG Nuri IV, Denpasar</t>
  </si>
  <si>
    <t>5171040812980001</t>
  </si>
  <si>
    <t>5171042312060002</t>
  </si>
  <si>
    <t>0001729832319</t>
  </si>
  <si>
    <t>19062613002</t>
  </si>
  <si>
    <t>089623396091</t>
  </si>
  <si>
    <t>naufal.rivaldi33@gmail.com</t>
  </si>
  <si>
    <t>Jln Imam  Bonjol, Perum cipta Selaras no 42 Denpasar Barat</t>
  </si>
  <si>
    <t>0895340473987</t>
  </si>
  <si>
    <t>1218.1356</t>
  </si>
  <si>
    <t>I Wayan Yogi Antara</t>
  </si>
  <si>
    <t>Jl. Gajah Sura No. 12</t>
  </si>
  <si>
    <t>5171040101980002</t>
  </si>
  <si>
    <t>083115158522</t>
  </si>
  <si>
    <t>085 792 157 244 (Adik)</t>
  </si>
  <si>
    <t>Devi Pradita Wahyudi</t>
  </si>
  <si>
    <t>Jambewangi, Sempu Banyuwangi</t>
  </si>
  <si>
    <t>3510202802980003</t>
  </si>
  <si>
    <t>085858775092</t>
  </si>
  <si>
    <t xml:space="preserve">Jl. Gunung Lawu No. 22B </t>
  </si>
  <si>
    <t>081 999 886 058</t>
  </si>
  <si>
    <t>Putu Ariska Sumartini</t>
  </si>
  <si>
    <t>Tegallenga</t>
  </si>
  <si>
    <t>Dusun Tegallenga Ds. Kalisada Kec. Seririt Kab. Buleleng, Singaraja</t>
  </si>
  <si>
    <t>5109024904940001</t>
  </si>
  <si>
    <t>087863894084</t>
  </si>
  <si>
    <t>Jl. Pulau Ayu Selatan No. 878</t>
  </si>
  <si>
    <t>087752030249</t>
  </si>
  <si>
    <t>19 januari</t>
  </si>
  <si>
    <t>Muhammad Indrawadi</t>
  </si>
  <si>
    <t>Tenges, Gereneng, Sakra timur</t>
  </si>
  <si>
    <t>5203182009960002</t>
  </si>
  <si>
    <t>5203180410072036</t>
  </si>
  <si>
    <t>0002900105605</t>
  </si>
  <si>
    <t>19080964737</t>
  </si>
  <si>
    <t>087856693469</t>
  </si>
  <si>
    <t>wadiindra834@gmail.com</t>
  </si>
  <si>
    <t>Br gubug pesiapan tabanan</t>
  </si>
  <si>
    <t>087862651587 saudara</t>
  </si>
  <si>
    <t>0119.1364</t>
  </si>
  <si>
    <t>Santi Retno Wulan</t>
  </si>
  <si>
    <t>Jati Agung , Gumukmas , Jember</t>
  </si>
  <si>
    <t>3509046909930001</t>
  </si>
  <si>
    <t>3509040102170010</t>
  </si>
  <si>
    <t>20013976202</t>
  </si>
  <si>
    <t>08223538597</t>
  </si>
  <si>
    <t>cantienolan4@gmail.com</t>
  </si>
  <si>
    <t>Jl. Padang Teki No.48</t>
  </si>
  <si>
    <t>081772865055</t>
  </si>
  <si>
    <t>0817.1229</t>
  </si>
  <si>
    <t>Ni Luh Eni Peni Antari</t>
  </si>
  <si>
    <t>Br Kayang</t>
  </si>
  <si>
    <t xml:space="preserve"> - </t>
  </si>
  <si>
    <t>DUSUN/BR KAYANG</t>
  </si>
  <si>
    <t>5106026011980005</t>
  </si>
  <si>
    <t>510602143070004</t>
  </si>
  <si>
    <t>0002662216402</t>
  </si>
  <si>
    <t>19091888701</t>
  </si>
  <si>
    <t>085792114208</t>
  </si>
  <si>
    <t>eni.veniantari76@gmail.com</t>
  </si>
  <si>
    <t>Jl. Mandala sari Gg 1F No 2</t>
  </si>
  <si>
    <t>SMk</t>
  </si>
  <si>
    <t>082147126987</t>
  </si>
  <si>
    <t>0119.1363</t>
  </si>
  <si>
    <t>Ady Muhtarom</t>
  </si>
  <si>
    <t>KP. Tengah RT 01 RW 02 Trigonco, Asembagus</t>
  </si>
  <si>
    <t>35121316090001</t>
  </si>
  <si>
    <t>085655057648</t>
  </si>
  <si>
    <t>Jl. Pamogan Perum Mekar II</t>
  </si>
  <si>
    <t xml:space="preserve">085 258 338 439 </t>
  </si>
  <si>
    <t>Ahmad Arlan</t>
  </si>
  <si>
    <t>Jl Diponegoro Gg. VI No.16</t>
  </si>
  <si>
    <t>5171030412940002</t>
  </si>
  <si>
    <t>081353336995</t>
  </si>
  <si>
    <t>087 887 113 661 (Pacar)</t>
  </si>
  <si>
    <t>Vitalis Nasa</t>
  </si>
  <si>
    <t>Kembung</t>
  </si>
  <si>
    <t>KEMBUNG</t>
  </si>
  <si>
    <t>5315012010960001</t>
  </si>
  <si>
    <t>5315011407090055</t>
  </si>
  <si>
    <t>0002921407356</t>
  </si>
  <si>
    <t>19080964547</t>
  </si>
  <si>
    <t>081238399917</t>
  </si>
  <si>
    <t>talisnasa96@gmail.com</t>
  </si>
  <si>
    <t>jl kenyeri gg meduri</t>
  </si>
  <si>
    <t>087856509418 teman</t>
  </si>
  <si>
    <t>0119.1365</t>
  </si>
  <si>
    <t>Dody Prayogo</t>
  </si>
  <si>
    <t>DSN SUMBER GAYAM</t>
  </si>
  <si>
    <t>3510091506970006</t>
  </si>
  <si>
    <t>3510232110190011</t>
  </si>
  <si>
    <t>20038182216</t>
  </si>
  <si>
    <t>dodyprayogo5@gmail.com</t>
  </si>
  <si>
    <t>jalan buana raya gang buana asri no 3a, denpasar barat</t>
  </si>
  <si>
    <t>0119.1366</t>
  </si>
  <si>
    <t>Kamaludin</t>
  </si>
  <si>
    <t>Masjid Bakik Desa Lemdang nangka utara. Masbagik</t>
  </si>
  <si>
    <t>5203052607930004</t>
  </si>
  <si>
    <t>5203052410110013</t>
  </si>
  <si>
    <t>0001580972433</t>
  </si>
  <si>
    <t>19091888677</t>
  </si>
  <si>
    <t>087752040841</t>
  </si>
  <si>
    <t>embuunbekuu@gmail.com</t>
  </si>
  <si>
    <t>jl bougenvil gang singosari 1, Mataram</t>
  </si>
  <si>
    <t>087761274341(istri)</t>
  </si>
  <si>
    <t>0119.1367</t>
  </si>
  <si>
    <t>Muhammad Fahrul Riadi Efendi</t>
  </si>
  <si>
    <t>Kute Daye, Sakra</t>
  </si>
  <si>
    <t>5203021807980002</t>
  </si>
  <si>
    <t>5203020103100048</t>
  </si>
  <si>
    <t>0002632539622</t>
  </si>
  <si>
    <t>19091888651</t>
  </si>
  <si>
    <t>087754741930</t>
  </si>
  <si>
    <t>fahrulriadiefendi@gmail.com</t>
  </si>
  <si>
    <t>081916916770(ayah)</t>
  </si>
  <si>
    <t>0119.1368</t>
  </si>
  <si>
    <t>I Gst Ketut Budha Martha</t>
  </si>
  <si>
    <t>Mataram</t>
  </si>
  <si>
    <t>Jl parikesit no 4 banjar mantri, RT02RW159, Desa Cilinaya, Kec Cakranegara</t>
  </si>
  <si>
    <t>5271031805000003</t>
  </si>
  <si>
    <t>5271030603083302</t>
  </si>
  <si>
    <t>0001859034993</t>
  </si>
  <si>
    <t>19091888669</t>
  </si>
  <si>
    <t>085238105357</t>
  </si>
  <si>
    <t>igkbm13@gmail.com</t>
  </si>
  <si>
    <t>Jl parkesit no 4 cakranegara, Mataram</t>
  </si>
  <si>
    <t>087865848857(ayah)</t>
  </si>
  <si>
    <t>0119.1370</t>
  </si>
  <si>
    <t>Wiwin Indrayanti</t>
  </si>
  <si>
    <t>Meraran</t>
  </si>
  <si>
    <t>Gg. Selat Karimata, Jl. Majapahit 1 Kelakik,Mataram</t>
  </si>
  <si>
    <t>5207036705970001</t>
  </si>
  <si>
    <t>085333532281</t>
  </si>
  <si>
    <t>085263390502 (kakak)</t>
  </si>
  <si>
    <t>Mohammad Waluyo</t>
  </si>
  <si>
    <t>Dusun pagergunung RT1 RW1, Karangharjo, Glenmore</t>
  </si>
  <si>
    <t>3510101010990005</t>
  </si>
  <si>
    <t>3510101501160002</t>
  </si>
  <si>
    <t>0002113308461</t>
  </si>
  <si>
    <t>19080964646</t>
  </si>
  <si>
    <t>082331304008</t>
  </si>
  <si>
    <t>muhamadwaluyo765@gmail.com</t>
  </si>
  <si>
    <t>Jl Akasia 16 no 114</t>
  </si>
  <si>
    <t>085738111477(kakak)</t>
  </si>
  <si>
    <t>0119.1374</t>
  </si>
  <si>
    <t>Dekky Firman Indragiri</t>
  </si>
  <si>
    <t>Dusun krajan timur, mlokrejo, puger Jember</t>
  </si>
  <si>
    <t>3509081405960003</t>
  </si>
  <si>
    <t>0002936488612</t>
  </si>
  <si>
    <t>19091888784</t>
  </si>
  <si>
    <t>089635542615</t>
  </si>
  <si>
    <t>dekkyfirman12@gmail.com</t>
  </si>
  <si>
    <t xml:space="preserve">JL. MANDALA SARI GG 1F NO 3 </t>
  </si>
  <si>
    <t>SMK TATA BOGA</t>
  </si>
  <si>
    <t>0119.1373</t>
  </si>
  <si>
    <t>Ida Ayu Komang Sri Suastini</t>
  </si>
  <si>
    <t>Banjar Kepuh , Mendoyo Dauh Tukad, Mendoyo Jembrana</t>
  </si>
  <si>
    <t>5101027007960003</t>
  </si>
  <si>
    <t>5101020205090741</t>
  </si>
  <si>
    <t>19072120264</t>
  </si>
  <si>
    <t>081916522562</t>
  </si>
  <si>
    <t>dayuomang29@gmail.com</t>
  </si>
  <si>
    <t>Jl Gustiwana V no 8, Gatsu timur</t>
  </si>
  <si>
    <t>087860506719 (kakak)</t>
  </si>
  <si>
    <t>0119.1372</t>
  </si>
  <si>
    <t>Rio Vitra Hary Batriyan</t>
  </si>
  <si>
    <t>Iromejan GK3/682 RT:29, RW:07, Yogyakarta</t>
  </si>
  <si>
    <t>3471030907960001</t>
  </si>
  <si>
    <t>08886961985</t>
  </si>
  <si>
    <t>Jl. Anyelir, Renon</t>
  </si>
  <si>
    <t>081249697913 (kakak)</t>
  </si>
  <si>
    <t>Ni Putu Maharani</t>
  </si>
  <si>
    <t>BANJAR DINAS KANGINAN</t>
  </si>
  <si>
    <t>5171046610930007</t>
  </si>
  <si>
    <t>5108032804100002</t>
  </si>
  <si>
    <t>0001430333818</t>
  </si>
  <si>
    <t>19091888719</t>
  </si>
  <si>
    <t>087864451092</t>
  </si>
  <si>
    <t>ranibjey@gmail.com</t>
  </si>
  <si>
    <t>Jl Pendidikan IV no 27</t>
  </si>
  <si>
    <t>081999267222</t>
  </si>
  <si>
    <t>0119.1376</t>
  </si>
  <si>
    <t>Akramullah</t>
  </si>
  <si>
    <t>Sumenep</t>
  </si>
  <si>
    <t>Dusun Sepanjang, 003/001 Sepeken</t>
  </si>
  <si>
    <t>3529251206980002</t>
  </si>
  <si>
    <t>081999155990</t>
  </si>
  <si>
    <t>Taman Pancing</t>
  </si>
  <si>
    <t>085238238938 ( Kakak)</t>
  </si>
  <si>
    <t>I Kadek Adi Putra</t>
  </si>
  <si>
    <t>Jl Cokroaminoto GG suli no 2 Tengah, Ubung, Denpasar Utara</t>
  </si>
  <si>
    <t>5171041005990006</t>
  </si>
  <si>
    <t>5171041207180006</t>
  </si>
  <si>
    <t>20000090231</t>
  </si>
  <si>
    <t>081931621442</t>
  </si>
  <si>
    <t>kadek.adi106@gmail.com</t>
  </si>
  <si>
    <t>jl cokroaminoto gg suli no 2</t>
  </si>
  <si>
    <t>085739782031(bapak)</t>
  </si>
  <si>
    <t>0119.1378</t>
  </si>
  <si>
    <t>I Gusti Putu Sony Artha Negara</t>
  </si>
  <si>
    <t>Br. Kepuh Desa Mendoyo Dauh Tukad</t>
  </si>
  <si>
    <t>5101021704000002</t>
  </si>
  <si>
    <t>087881656230</t>
  </si>
  <si>
    <t>081238225525 (Paman)</t>
  </si>
  <si>
    <t>Muhammad Fadil Falevi</t>
  </si>
  <si>
    <t>Dsn. Sumbernangka, Kec, Ledokombo, Kab. Jember</t>
  </si>
  <si>
    <t>3509281708930003</t>
  </si>
  <si>
    <t>082234618759</t>
  </si>
  <si>
    <t>Kemenuh</t>
  </si>
  <si>
    <t>085257972260 (Teman)</t>
  </si>
  <si>
    <t>Deny Pratama Ilhami</t>
  </si>
  <si>
    <t>Selong</t>
  </si>
  <si>
    <t>Lingkungan Gandor, RT. 025, Ds. Selong, Kec. Selong</t>
  </si>
  <si>
    <t>5203072202950015</t>
  </si>
  <si>
    <t>0000838498735</t>
  </si>
  <si>
    <t>087856281036</t>
  </si>
  <si>
    <t>denipratama2257@gmail.com</t>
  </si>
  <si>
    <t>jl tukad banyusari gg 3</t>
  </si>
  <si>
    <t>S1 Hukum</t>
  </si>
  <si>
    <t>08239929116(teman)</t>
  </si>
  <si>
    <t>0219.1381</t>
  </si>
  <si>
    <t>Novendy</t>
  </si>
  <si>
    <t>Perum Atlanta Regency blok F.10, Bagan Pete Alam barajo</t>
  </si>
  <si>
    <t>1571022211780061</t>
  </si>
  <si>
    <t>1571021411060029</t>
  </si>
  <si>
    <t>07.417.270.1-301.000</t>
  </si>
  <si>
    <t>0001831252318</t>
  </si>
  <si>
    <t>19080964679</t>
  </si>
  <si>
    <t>081238353979</t>
  </si>
  <si>
    <t>novendy.huang@gmail.com</t>
  </si>
  <si>
    <t>pondok mb2 ruco no 12 BTN hartako jaya, perintis kemerdekaan km9</t>
  </si>
  <si>
    <t>0219.1384</t>
  </si>
  <si>
    <t>Area Manager Sulawesi</t>
  </si>
  <si>
    <t>Ni Putu Ayu Tirthawati</t>
  </si>
  <si>
    <t>Pelangan</t>
  </si>
  <si>
    <t>Gubug Bali RT6. Jembatan gantung, Lembar</t>
  </si>
  <si>
    <t>5201134810990001</t>
  </si>
  <si>
    <t>5201130603085772</t>
  </si>
  <si>
    <t>0000829578802</t>
  </si>
  <si>
    <t>19080964703</t>
  </si>
  <si>
    <t>081907114837</t>
  </si>
  <si>
    <t xml:space="preserve">ayutirthawati@gmail.com </t>
  </si>
  <si>
    <t>jl jepun tegal belodan tabanan</t>
  </si>
  <si>
    <t>087805932739(bibi)</t>
  </si>
  <si>
    <t>0219.1382</t>
  </si>
  <si>
    <t>Yondri T. A. Obes</t>
  </si>
  <si>
    <t>Fatunaus</t>
  </si>
  <si>
    <t>Fatunaus, RT. 009/003, Ds. Fatunus, Kec. Amfoang Utara</t>
  </si>
  <si>
    <t>5301131002930001</t>
  </si>
  <si>
    <t>081353696262</t>
  </si>
  <si>
    <t>Jl. Raya Mas Ubud, Gianyar Bali</t>
  </si>
  <si>
    <t>Dewa Ayu Putu Eka Kardani</t>
  </si>
  <si>
    <t>BR. GELULUNG</t>
  </si>
  <si>
    <t>5104015108940004</t>
  </si>
  <si>
    <t>5104012204090020</t>
  </si>
  <si>
    <t>0001476573164</t>
  </si>
  <si>
    <t>19091888768</t>
  </si>
  <si>
    <t>087761231826</t>
  </si>
  <si>
    <t>ekakardani77@gmail.com</t>
  </si>
  <si>
    <t>Banjarngelulung sukawati, jl raya sukawati</t>
  </si>
  <si>
    <t>085100050416 bapak</t>
  </si>
  <si>
    <t>0219.1385</t>
  </si>
  <si>
    <t>I Kadek Gilang Agusta Nanditha</t>
  </si>
  <si>
    <t>JL Gn Seraya 2 No 10 Dps, Denpasar Barat</t>
  </si>
  <si>
    <t>5171030408960018</t>
  </si>
  <si>
    <t>5171030806070015</t>
  </si>
  <si>
    <t>19091888834</t>
  </si>
  <si>
    <t>087863654981</t>
  </si>
  <si>
    <t>gilang.agusta@gmail.com</t>
  </si>
  <si>
    <t>Jl Gunung Seraya 2 no 10 Denpasar Barat</t>
  </si>
  <si>
    <t>D3 Manajemen Ph</t>
  </si>
  <si>
    <t>081933117590(ibu)</t>
  </si>
  <si>
    <t>0219.1386</t>
  </si>
  <si>
    <t>I Gede Suastika Pradnyana Putra</t>
  </si>
  <si>
    <t>Jl Mandala Sari GG V no15, Mandala sari, dangin puri kelod, denpasar timur</t>
  </si>
  <si>
    <t>5171021703930001</t>
  </si>
  <si>
    <t>5171021007070217</t>
  </si>
  <si>
    <t>0002898858161</t>
  </si>
  <si>
    <t>19072120330</t>
  </si>
  <si>
    <t>0895341611261</t>
  </si>
  <si>
    <t>suastikapradnyanaputra@gmail.com</t>
  </si>
  <si>
    <t>jl mandala sari gg V no 15</t>
  </si>
  <si>
    <t>D3 perhotelan</t>
  </si>
  <si>
    <t>081805613236(ayah)</t>
  </si>
  <si>
    <t>0219.1389</t>
  </si>
  <si>
    <t>Nafiatul Ilmiah</t>
  </si>
  <si>
    <t>Dusun Krajan</t>
  </si>
  <si>
    <t>3509066705980001</t>
  </si>
  <si>
    <t>3509062109055291</t>
  </si>
  <si>
    <t>19080964729</t>
  </si>
  <si>
    <t>082257846199</t>
  </si>
  <si>
    <t>nafiatulilmiah1727@gmail.com</t>
  </si>
  <si>
    <t>Jl Gunung karang no 3 Munang maning</t>
  </si>
  <si>
    <t>082143901370</t>
  </si>
  <si>
    <t>0219.1388</t>
  </si>
  <si>
    <t>Ni Luh Dewi Oktaviani</t>
  </si>
  <si>
    <t>Jl Ternate 3A no.1</t>
  </si>
  <si>
    <t>5171046310930001</t>
  </si>
  <si>
    <t>087761464041</t>
  </si>
  <si>
    <t>087862265757 (Suami)</t>
  </si>
  <si>
    <t>Bondodi</t>
  </si>
  <si>
    <t>AB</t>
  </si>
  <si>
    <t>Jl bedugul gg yeh ning no 9. sari,sidakarya</t>
  </si>
  <si>
    <t>5171012712730004</t>
  </si>
  <si>
    <t>24.587.387.2-903.000</t>
  </si>
  <si>
    <t>0001400795638</t>
  </si>
  <si>
    <t>19080964612</t>
  </si>
  <si>
    <t>081236828407</t>
  </si>
  <si>
    <t>michaelbondodi11@gmail.com</t>
  </si>
  <si>
    <t>jl bedugulngg yeh ning, sidakarya denpasar selatan</t>
  </si>
  <si>
    <t>082236331759 istri</t>
  </si>
  <si>
    <t>0219.1390</t>
  </si>
  <si>
    <t>Lalu Muhamat Ariady</t>
  </si>
  <si>
    <t>Batukliang</t>
  </si>
  <si>
    <t>Mertak Wareng, Lombok Tengah</t>
  </si>
  <si>
    <t>5202032908920001</t>
  </si>
  <si>
    <t>081805785252</t>
  </si>
  <si>
    <t>JL Tangkuban Perahu no 50</t>
  </si>
  <si>
    <t>085964256648 (Sofian)</t>
  </si>
  <si>
    <t>Melta Sari Sekar Cendani</t>
  </si>
  <si>
    <t>Jl Gn Resimuka Barat</t>
  </si>
  <si>
    <t>5171035108000002</t>
  </si>
  <si>
    <t>081357283061</t>
  </si>
  <si>
    <t>Jl Gn Resimuka Barat gg Indonesia Emas no 12</t>
  </si>
  <si>
    <t>085792693941 (Ibu)</t>
  </si>
  <si>
    <t>Ahmad Marzuki</t>
  </si>
  <si>
    <t>3510092711940001</t>
  </si>
  <si>
    <t>082245677817</t>
  </si>
  <si>
    <t>Jl Angsoka 1 gg Buntu Ubung</t>
  </si>
  <si>
    <t>082228943907 (Saudara)</t>
  </si>
  <si>
    <t>Imam Budiharjo</t>
  </si>
  <si>
    <t>Jl. Pulau bungin 1 gg 1 no 14, pedungan Denpasar Selatan</t>
  </si>
  <si>
    <t>5171012906740007</t>
  </si>
  <si>
    <t>5171011010160004</t>
  </si>
  <si>
    <t>25.255.783.0-903.000</t>
  </si>
  <si>
    <t>0002898835086</t>
  </si>
  <si>
    <t>085743431936</t>
  </si>
  <si>
    <t>imambudi0629@gmail.com</t>
  </si>
  <si>
    <t>Perum Sambadha, By pass ngurah rai renon</t>
  </si>
  <si>
    <t>081237380009</t>
  </si>
  <si>
    <t>0319.1397</t>
  </si>
  <si>
    <t>Tax</t>
  </si>
  <si>
    <t>Ade Aryestha Putra</t>
  </si>
  <si>
    <t>JL GN Andakasa GG Cempaka 1no 11b Penamparan Denpasar</t>
  </si>
  <si>
    <t>5171030804970019</t>
  </si>
  <si>
    <t>5171033103070169</t>
  </si>
  <si>
    <t>0001742234398</t>
  </si>
  <si>
    <t>19091888776</t>
  </si>
  <si>
    <t>081339502713</t>
  </si>
  <si>
    <t>aryesthaputra08@gmail.com</t>
  </si>
  <si>
    <t>Jl Pulau Saelus gg.6 no.4</t>
  </si>
  <si>
    <t>081338629962</t>
  </si>
  <si>
    <t>0319.1391</t>
  </si>
  <si>
    <t>Frumensius Harianto</t>
  </si>
  <si>
    <t>Lewat</t>
  </si>
  <si>
    <t>Lewat , Macang Pacar , NTT</t>
  </si>
  <si>
    <t>5315012710990004</t>
  </si>
  <si>
    <t>5315011111080002</t>
  </si>
  <si>
    <t>0002936321908</t>
  </si>
  <si>
    <t>20000090264</t>
  </si>
  <si>
    <t>082359567642</t>
  </si>
  <si>
    <t>haryantorhyno@gmail.com</t>
  </si>
  <si>
    <t>Jl. Ratna Souki No.2</t>
  </si>
  <si>
    <t>082144033831</t>
  </si>
  <si>
    <t>0319.1396</t>
  </si>
  <si>
    <t>Hasmiyati</t>
  </si>
  <si>
    <t>Kuang Derek</t>
  </si>
  <si>
    <t>Kuang Baru Desa Kuang Berora, Kec Sakra Lombok</t>
  </si>
  <si>
    <t>5203025511920003</t>
  </si>
  <si>
    <t>087752552525</t>
  </si>
  <si>
    <t>Jl. Karya Makmur Gg. Mukuh Sari No. 11</t>
  </si>
  <si>
    <t xml:space="preserve">081917650330 (Suami) </t>
  </si>
  <si>
    <t>Moh. Sofian Hariady Zain</t>
  </si>
  <si>
    <t>Aik Bukaq, Batukliang Utara</t>
  </si>
  <si>
    <t>5202122309900002</t>
  </si>
  <si>
    <t>0002930964502</t>
  </si>
  <si>
    <t>19080964760</t>
  </si>
  <si>
    <t>089503453400</t>
  </si>
  <si>
    <t>ladolegend23@gmail.com</t>
  </si>
  <si>
    <t>MA Bhs</t>
  </si>
  <si>
    <t>085947696905(istri)</t>
  </si>
  <si>
    <t>0319.1398</t>
  </si>
  <si>
    <t xml:space="preserve">Shopkeeper </t>
  </si>
  <si>
    <t>Maula Khoirul Sabilih</t>
  </si>
  <si>
    <t>Tuban</t>
  </si>
  <si>
    <t>Jl Letda Kajeng no 19 A DPS, Yang Batu Kangin, Dangin Puri, Denpasar Timur</t>
  </si>
  <si>
    <t>5171021903970002</t>
  </si>
  <si>
    <t>0000827780635</t>
  </si>
  <si>
    <t>19080964562</t>
  </si>
  <si>
    <t>089613143005</t>
  </si>
  <si>
    <t>maulakhoirul19@gmail.com</t>
  </si>
  <si>
    <t>Jl Letda kajeng no 19 A</t>
  </si>
  <si>
    <t>08124623005 (bapak)</t>
  </si>
  <si>
    <t>0319.1400</t>
  </si>
  <si>
    <t>Si Putu Wahyu Saputra</t>
  </si>
  <si>
    <t>Lingk, Tengah Sempidi, mengwi</t>
  </si>
  <si>
    <t>5103022605990002</t>
  </si>
  <si>
    <t>5103020111060266</t>
  </si>
  <si>
    <t>19091888826</t>
  </si>
  <si>
    <t>087760296065</t>
  </si>
  <si>
    <t>wahyusaputra.ws633@gmail.com</t>
  </si>
  <si>
    <t>Br tengah Sempidi no 46</t>
  </si>
  <si>
    <t>082146270277(kakak)</t>
  </si>
  <si>
    <t>0319.1399</t>
  </si>
  <si>
    <t>Yolanda Adi Purwanto</t>
  </si>
  <si>
    <t>Jl gunung cemara vii no 15, tegal harum, denpasar barat</t>
  </si>
  <si>
    <t>5171031601980017</t>
  </si>
  <si>
    <t>5171030105070050</t>
  </si>
  <si>
    <t>0000828652151</t>
  </si>
  <si>
    <t>20038182190</t>
  </si>
  <si>
    <t>089671650105</t>
  </si>
  <si>
    <t>yolanadipurwanto22@gmail.com</t>
  </si>
  <si>
    <t>Jl gn cemara viia no 15</t>
  </si>
  <si>
    <t>081338963326 bapak</t>
  </si>
  <si>
    <t>0319.1401</t>
  </si>
  <si>
    <t>Sulsilah Wostiqomah</t>
  </si>
  <si>
    <t>Bondowoso</t>
  </si>
  <si>
    <t>Trotosari, RT5 RW1, Tlogosari Bondowoso</t>
  </si>
  <si>
    <t>3511035506000015</t>
  </si>
  <si>
    <t>3511031005031503</t>
  </si>
  <si>
    <t>0002806326426</t>
  </si>
  <si>
    <t>19080964711</t>
  </si>
  <si>
    <t>087871406392</t>
  </si>
  <si>
    <t>wostiqomahsulsilah@gmail.com</t>
  </si>
  <si>
    <t>JL GUNUNG GUNTUR, PADANG SAMBIAN</t>
  </si>
  <si>
    <t>SMK PENGOLAHAN</t>
  </si>
  <si>
    <t>0319.1403</t>
  </si>
  <si>
    <t>Pande Kadek Yoga Setiawan Putra</t>
  </si>
  <si>
    <t>Br temesi, gianyar</t>
  </si>
  <si>
    <t>5104032711970004</t>
  </si>
  <si>
    <t>0002379931198</t>
  </si>
  <si>
    <t>20038182166</t>
  </si>
  <si>
    <t>pandesetiawan93@gmail.com</t>
  </si>
  <si>
    <t>jln katrangan gg,ix no 3</t>
  </si>
  <si>
    <t>0319.1407</t>
  </si>
  <si>
    <t>M Romi Ilham Fitrah</t>
  </si>
  <si>
    <t>Lingkungan Gandor</t>
  </si>
  <si>
    <t>5203072301980007</t>
  </si>
  <si>
    <t>087864741112</t>
  </si>
  <si>
    <t>Panjer</t>
  </si>
  <si>
    <t>087856281036 (Deni)</t>
  </si>
  <si>
    <t>Lukman Purwiyanto</t>
  </si>
  <si>
    <t>Jl. Gaja Mada XII Condro Utara</t>
  </si>
  <si>
    <t>3509191208940008</t>
  </si>
  <si>
    <t>081236160320</t>
  </si>
  <si>
    <t>Kesiman</t>
  </si>
  <si>
    <t>0895410965550 (Iqbal)</t>
  </si>
  <si>
    <t>Teguh Dwi Santoso</t>
  </si>
  <si>
    <t>Bogor</t>
  </si>
  <si>
    <t>KP Peuteuy RT 001/001 Leuwisadeng</t>
  </si>
  <si>
    <t>3201391011940006</t>
  </si>
  <si>
    <t>081239951001</t>
  </si>
  <si>
    <t>Jl. Raya Sesetan Gg. Kecubung</t>
  </si>
  <si>
    <t>081280143518 (Itha)</t>
  </si>
  <si>
    <t>Ni Luh Devi Primayanti</t>
  </si>
  <si>
    <t>Karangasem</t>
  </si>
  <si>
    <t>Br Dinas Bias, Desa Ababi, Abang Karangasem</t>
  </si>
  <si>
    <t>5107054205930004</t>
  </si>
  <si>
    <t>085737402300</t>
  </si>
  <si>
    <t>Jl. Gn Mas Gg Dieng VI No.4 Padang Sambian</t>
  </si>
  <si>
    <t>085738855419 (Pacar)</t>
  </si>
  <si>
    <t>I Nyoman Budi Sentana</t>
  </si>
  <si>
    <t>Depeha</t>
  </si>
  <si>
    <t>BR DINAS DANGIN PURA</t>
  </si>
  <si>
    <t>5108080503970003</t>
  </si>
  <si>
    <t>5108080902100031</t>
  </si>
  <si>
    <t>0000827307977</t>
  </si>
  <si>
    <t>19091888792</t>
  </si>
  <si>
    <t>sentanabudikomang@gmail.com</t>
  </si>
  <si>
    <t>0319.1408</t>
  </si>
  <si>
    <t>Ni Wayan Melaningsih</t>
  </si>
  <si>
    <t>Baturiti</t>
  </si>
  <si>
    <t>Banjar Baturiti, BATURITI</t>
  </si>
  <si>
    <t>5102094805950002</t>
  </si>
  <si>
    <t>5102091903085124</t>
  </si>
  <si>
    <t>0002897697025</t>
  </si>
  <si>
    <t>085935344792</t>
  </si>
  <si>
    <t>wayanmelaningsih@gmail.com</t>
  </si>
  <si>
    <t>Perum dalung permai blok 44 no.2 Kuta Utara Badung</t>
  </si>
  <si>
    <t>081353355073(ibu)</t>
  </si>
  <si>
    <t>0419.1409</t>
  </si>
  <si>
    <t>Moh Bagus Wirawan Syah Putra</t>
  </si>
  <si>
    <t>dsn sambirejo, banyuwangi</t>
  </si>
  <si>
    <t>3510021310990001</t>
  </si>
  <si>
    <t>3510021506051993</t>
  </si>
  <si>
    <t>0002417364303</t>
  </si>
  <si>
    <t>19080964620</t>
  </si>
  <si>
    <t>081318381922</t>
  </si>
  <si>
    <t>bagoesr78@gmail.com</t>
  </si>
  <si>
    <t xml:space="preserve">jl pulau kawe </t>
  </si>
  <si>
    <t>MAN Pesanggaran</t>
  </si>
  <si>
    <t>081326367211 saudara</t>
  </si>
  <si>
    <t>0419.1411</t>
  </si>
  <si>
    <t>Furqon Al Ayubi</t>
  </si>
  <si>
    <t>Dsn Panjen RT/RW 001/004, Jambewangi, Banyuwangi</t>
  </si>
  <si>
    <t>3510201004950009</t>
  </si>
  <si>
    <t>08873823784</t>
  </si>
  <si>
    <t>Jl Mahendradata No 91</t>
  </si>
  <si>
    <t>081238921588 (Kakak)</t>
  </si>
  <si>
    <t>Lutfi Hari Susetyo</t>
  </si>
  <si>
    <t>Dsn Krajan 8 RT 3 RW 13 Wonorejo, Kencong, Jember</t>
  </si>
  <si>
    <t>3509040811920001</t>
  </si>
  <si>
    <t>083134852676</t>
  </si>
  <si>
    <t>Jl Kresek Gg Baronang 40X</t>
  </si>
  <si>
    <t>081805345050 (Teman Kost)</t>
  </si>
  <si>
    <t xml:space="preserve">Benyamin K Toda </t>
  </si>
  <si>
    <t>Puu Upo</t>
  </si>
  <si>
    <t>Moritana Dana</t>
  </si>
  <si>
    <t>5312101805940003</t>
  </si>
  <si>
    <t>082342484917</t>
  </si>
  <si>
    <t>Jl. Sesetan Gg Lely No 5</t>
  </si>
  <si>
    <t>081339548560 (Sepupu)</t>
  </si>
  <si>
    <t>Indra Sasmita</t>
  </si>
  <si>
    <t>JL RY Sesetan gg taman sari, Puri Agung Sesetan, Denpasar</t>
  </si>
  <si>
    <t>5171013011990007</t>
  </si>
  <si>
    <t>5171012511080012</t>
  </si>
  <si>
    <t>0001848446651</t>
  </si>
  <si>
    <t>19080964745</t>
  </si>
  <si>
    <t>081933306299</t>
  </si>
  <si>
    <t>sasmitaindra849@gmail.com</t>
  </si>
  <si>
    <t>Jln Ir Soekarno tampaksiring pejeng, Br Intaran</t>
  </si>
  <si>
    <t>081353366529</t>
  </si>
  <si>
    <t>0419.1413</t>
  </si>
  <si>
    <t>Dennis</t>
  </si>
  <si>
    <t>Tangerang</t>
  </si>
  <si>
    <t>Jelambar Fajar JL B no 36 A</t>
  </si>
  <si>
    <t>2172011403920001</t>
  </si>
  <si>
    <t>085668033311</t>
  </si>
  <si>
    <t>Jl Piranha II A no 7, Pedungan Sesetan, Denpasar</t>
  </si>
  <si>
    <t>085755992222 (kakak Kandung)</t>
  </si>
  <si>
    <t xml:space="preserve">Supervisor </t>
  </si>
  <si>
    <t>Akunting</t>
  </si>
  <si>
    <t>Devana Yoga Bagus Pribadi</t>
  </si>
  <si>
    <t>Jl Cokroaminoto 245, Br Batur UBUng</t>
  </si>
  <si>
    <t>5171041905990003</t>
  </si>
  <si>
    <t>5171042303070099</t>
  </si>
  <si>
    <t>0002290976932</t>
  </si>
  <si>
    <t>20013976152</t>
  </si>
  <si>
    <t>08158910874</t>
  </si>
  <si>
    <t>devanayoga9@gmail.com</t>
  </si>
  <si>
    <t>Jln Cokroaminoto gang mahoni</t>
  </si>
  <si>
    <t>085738411597 (ibu)</t>
  </si>
  <si>
    <t>0519.1415</t>
  </si>
  <si>
    <t>Ni Wayan Juniari</t>
  </si>
  <si>
    <t>Ketewel</t>
  </si>
  <si>
    <t>Br. Rangkan Sukawati Ketewel</t>
  </si>
  <si>
    <t>087763488093</t>
  </si>
  <si>
    <t>085738381604 (Orang Tua)</t>
  </si>
  <si>
    <t>Yohanes Nardi Asmin</t>
  </si>
  <si>
    <t>Ngawan</t>
  </si>
  <si>
    <t>Benteng, RT/RW 009/005, Golo Ngawan</t>
  </si>
  <si>
    <t>5319041908930005</t>
  </si>
  <si>
    <t>082144765074</t>
  </si>
  <si>
    <t>Jl. Seroja Tonja, Denpasar Timur</t>
  </si>
  <si>
    <t>082247641202 (Pacar)</t>
  </si>
  <si>
    <t>Putu Ayu Manik Wiryani</t>
  </si>
  <si>
    <t>Jl. Sutomo Gg IV No.1 Denpasar Utara</t>
  </si>
  <si>
    <t>5171045109970006</t>
  </si>
  <si>
    <t>082145319011</t>
  </si>
  <si>
    <t>081933041047 (Ibu)</t>
  </si>
  <si>
    <t>Valda Jeanitta Dwi Putri</t>
  </si>
  <si>
    <t>Jl. Pulau Tarakan No. 3D</t>
  </si>
  <si>
    <t>3510166301010006</t>
  </si>
  <si>
    <t>089664054542</t>
  </si>
  <si>
    <t>Jl. Kusuma Dewa No.7</t>
  </si>
  <si>
    <t>089686380483 (Kakak)</t>
  </si>
  <si>
    <t>Dwi Bogy Yuniawan</t>
  </si>
  <si>
    <t>3510160906980006</t>
  </si>
  <si>
    <t>085858760225</t>
  </si>
  <si>
    <t>Jl. Badak III Renon, Denpasar</t>
  </si>
  <si>
    <t>081237969733 ( Kakak)</t>
  </si>
  <si>
    <t>Restu Wilda Pangestika</t>
  </si>
  <si>
    <t>Lunjuk</t>
  </si>
  <si>
    <t>Lunjuk, Seluma Barat, Seluma Bengkulu</t>
  </si>
  <si>
    <t>1705084101970001</t>
  </si>
  <si>
    <t>1705080205080653</t>
  </si>
  <si>
    <t>0002112363944</t>
  </si>
  <si>
    <t>19080964653</t>
  </si>
  <si>
    <t>085738134748</t>
  </si>
  <si>
    <t>restuwilda0101@gmail.com</t>
  </si>
  <si>
    <t>jl tangkuban perahu gg perumahan pondok tegal</t>
  </si>
  <si>
    <t xml:space="preserve">SMA IPA </t>
  </si>
  <si>
    <t>085307360042(ibu)</t>
  </si>
  <si>
    <t>0519.1419</t>
  </si>
  <si>
    <t>Pande Putu Mahendra Adiguna</t>
  </si>
  <si>
    <t>Delodbrawah</t>
  </si>
  <si>
    <t>Banjar dauh marga, delodbrawah, mendoyo</t>
  </si>
  <si>
    <t>5101022401950006</t>
  </si>
  <si>
    <t>5101021205090367</t>
  </si>
  <si>
    <t>0002210608528</t>
  </si>
  <si>
    <t>19091888685</t>
  </si>
  <si>
    <t>081937606633</t>
  </si>
  <si>
    <t>pandeputu711@gmail.com</t>
  </si>
  <si>
    <t>br lebah sari ds gulungan mengwi</t>
  </si>
  <si>
    <t xml:space="preserve">S1 Pendidikan </t>
  </si>
  <si>
    <t>081999337972</t>
  </si>
  <si>
    <t>0519.1421</t>
  </si>
  <si>
    <t>Imran</t>
  </si>
  <si>
    <t>Kayuara</t>
  </si>
  <si>
    <t>Dusun 2 Kayuara, Rambang kuang</t>
  </si>
  <si>
    <t>1610141212940003</t>
  </si>
  <si>
    <t>1610142105080073</t>
  </si>
  <si>
    <t>80.251.702.9-402.000</t>
  </si>
  <si>
    <t>0002267068601</t>
  </si>
  <si>
    <t>16004650822</t>
  </si>
  <si>
    <t>085279847857</t>
  </si>
  <si>
    <t>imranzr083@gmail.com</t>
  </si>
  <si>
    <t>Jl Kubu gunung gg tahiti 1</t>
  </si>
  <si>
    <t>SMA/IPA</t>
  </si>
  <si>
    <t>085380005267 (kakak)</t>
  </si>
  <si>
    <t>0519.1418</t>
  </si>
  <si>
    <t xml:space="preserve">M. Komang Angga Aji Sukmawan </t>
  </si>
  <si>
    <t>Jl Rambutan No 7 Denpasar</t>
  </si>
  <si>
    <t>5171042603960007</t>
  </si>
  <si>
    <t>082237103396</t>
  </si>
  <si>
    <t>081339814370 ( Kakak)</t>
  </si>
  <si>
    <t>Ni Komang Putri Arisandy</t>
  </si>
  <si>
    <t>Br Panti Kediri, Tabanan</t>
  </si>
  <si>
    <t>5102066608980001</t>
  </si>
  <si>
    <t>087762750404</t>
  </si>
  <si>
    <t>081338675591 (Orang Tua)</t>
  </si>
  <si>
    <t>Kadek Mertayasa</t>
  </si>
  <si>
    <t>Sukorejo</t>
  </si>
  <si>
    <t>Asrama POM, JL ngurah rai no 32, Buleleng</t>
  </si>
  <si>
    <t>5108060909990001</t>
  </si>
  <si>
    <t>5108062112060012</t>
  </si>
  <si>
    <t>0001270053832</t>
  </si>
  <si>
    <t>20000090215</t>
  </si>
  <si>
    <t>085339209287</t>
  </si>
  <si>
    <t>kadekmertayasa2@icloud.com</t>
  </si>
  <si>
    <t>jl gn sanghyang gg triloka</t>
  </si>
  <si>
    <t>081248791764(ibu)</t>
  </si>
  <si>
    <t>0519.1423</t>
  </si>
  <si>
    <t>Jiwo Alazis</t>
  </si>
  <si>
    <t>Dsn III Sumber Mulyo RT2 RW12, Senduro Lumajang</t>
  </si>
  <si>
    <t>3508121310000004</t>
  </si>
  <si>
    <t>3508121606054418</t>
  </si>
  <si>
    <t>0002453366766</t>
  </si>
  <si>
    <t>19091888818</t>
  </si>
  <si>
    <t>089630205353</t>
  </si>
  <si>
    <t>jiwoalaziz1310@gmail.com</t>
  </si>
  <si>
    <t>JL SETIA BUDI</t>
  </si>
  <si>
    <t>SMK PARIWISATA</t>
  </si>
  <si>
    <t>0619.1425</t>
  </si>
  <si>
    <t>Fathur Muzakkir</t>
  </si>
  <si>
    <t>Kerumut</t>
  </si>
  <si>
    <t>Dusun Toron, Desa Kerumut, Kec Pringgabayu</t>
  </si>
  <si>
    <t>5203083112930062</t>
  </si>
  <si>
    <t>081775442926</t>
  </si>
  <si>
    <t>Jl Mahendradata Gg. Asem VII</t>
  </si>
  <si>
    <t>087702919583 (Teman Kost)</t>
  </si>
  <si>
    <t>Ni Putu Vera Suryani</t>
  </si>
  <si>
    <t>Penebel</t>
  </si>
  <si>
    <t>Jl Indra Jaya GG 1/17 DPS, BR/LINK.tengah kauh,Ubung kaja,Denpasar Utara</t>
  </si>
  <si>
    <t>5102084302940003</t>
  </si>
  <si>
    <t>5171042205070245</t>
  </si>
  <si>
    <t>0002914854153</t>
  </si>
  <si>
    <t>20000090199</t>
  </si>
  <si>
    <t>085858681707</t>
  </si>
  <si>
    <t>Vera281115@gmail.com</t>
  </si>
  <si>
    <t>Jln Indra jaya gg 1 np 17</t>
  </si>
  <si>
    <t>081558482100</t>
  </si>
  <si>
    <t>0619.1426</t>
  </si>
  <si>
    <t>Moh. Hasanashari</t>
  </si>
  <si>
    <t>Gelumpang</t>
  </si>
  <si>
    <t>Dusun Gelumpang Taman Baru, Kec. Sekotong</t>
  </si>
  <si>
    <t>5201070707970001</t>
  </si>
  <si>
    <t>087761229887</t>
  </si>
  <si>
    <t>Jl Raya Canggu Gg Kenyeri No.6</t>
  </si>
  <si>
    <t>081703622541 (Bibik)</t>
  </si>
  <si>
    <t>Moh. Royhul Hamdani</t>
  </si>
  <si>
    <t>Jl rambutan Dusun Curahwaru</t>
  </si>
  <si>
    <t>3509092309053544</t>
  </si>
  <si>
    <t>19091888693</t>
  </si>
  <si>
    <t>081249770916</t>
  </si>
  <si>
    <t>royhulhamdani97@gmail.com</t>
  </si>
  <si>
    <t>Jl. Tukad Pakerisan Gg Punglor no 45</t>
  </si>
  <si>
    <t>082243103034</t>
  </si>
  <si>
    <t>0619.1334</t>
  </si>
  <si>
    <t>Komang Ayu Agustini</t>
  </si>
  <si>
    <t>JL COKROAMINOTO GG TUNJUNG SARI NO 18,T</t>
  </si>
  <si>
    <t>5171045608970003</t>
  </si>
  <si>
    <t>5171040210070045</t>
  </si>
  <si>
    <t>0002198049322</t>
  </si>
  <si>
    <t>19091888842</t>
  </si>
  <si>
    <t>083119855883</t>
  </si>
  <si>
    <t>ayuagustini369@gmail.com</t>
  </si>
  <si>
    <t>JL. COKROAMINOTO GG TUNJUNG SARI NO 25, DENPASAR</t>
  </si>
  <si>
    <t>0619.1428</t>
  </si>
  <si>
    <t>I Wayan Putra Adnyana</t>
  </si>
  <si>
    <t>Br. Cemenggon, Penarungan Mengwi Badung</t>
  </si>
  <si>
    <t>5103021001010005</t>
  </si>
  <si>
    <t>081558976135</t>
  </si>
  <si>
    <t>081936233183 (Ibuk)</t>
  </si>
  <si>
    <t>Ahmad Imron Rozadi</t>
  </si>
  <si>
    <t>Jl Rambutan dusun curah waru, gambirono Bangalsari</t>
  </si>
  <si>
    <t>3509092402930001</t>
  </si>
  <si>
    <t>20022390197</t>
  </si>
  <si>
    <t>imrosadi634@gmail.com</t>
  </si>
  <si>
    <t>jl pulau ayu no 878 denpasar selatan</t>
  </si>
  <si>
    <t>0619.1430</t>
  </si>
  <si>
    <t>Mohammad Irfan Syahroni</t>
  </si>
  <si>
    <t>Dsn Pagergunung RT1 RW2, Karangharjo, Glenmore</t>
  </si>
  <si>
    <t>3510101209000004</t>
  </si>
  <si>
    <t>3510100803110002</t>
  </si>
  <si>
    <t>19091888800</t>
  </si>
  <si>
    <t>082341520550</t>
  </si>
  <si>
    <t>irvanavens12@gmail.com</t>
  </si>
  <si>
    <t>JL. AKASIA 16 NO 114</t>
  </si>
  <si>
    <t>0619.1431</t>
  </si>
  <si>
    <t>Tri Setyo Budi</t>
  </si>
  <si>
    <t>Pati</t>
  </si>
  <si>
    <t>Jl proh m yamin SH, lebak bandung jelutung</t>
  </si>
  <si>
    <t>1571082709760041</t>
  </si>
  <si>
    <t>1571080204080009</t>
  </si>
  <si>
    <t>0001498546686</t>
  </si>
  <si>
    <t>20013976194</t>
  </si>
  <si>
    <t>085340284246</t>
  </si>
  <si>
    <t>budypalapa1976@gmail.com</t>
  </si>
  <si>
    <t>pondok mb2 ruco no 12 btn hartako jaya, perintis kemerdekaan</t>
  </si>
  <si>
    <t>0719.1432</t>
  </si>
  <si>
    <t>CS02</t>
  </si>
  <si>
    <t>Ahmad Mutaba Roin</t>
  </si>
  <si>
    <t>Dusun Darussalam RT5 RW2, jatimulyo, Jenggawah</t>
  </si>
  <si>
    <t>3509161209010003</t>
  </si>
  <si>
    <t>3509161206190002</t>
  </si>
  <si>
    <t>081515126118</t>
  </si>
  <si>
    <t>roin617@gmail.com</t>
  </si>
  <si>
    <t>jl pulau singkep gg abud futsal</t>
  </si>
  <si>
    <t>085749718853(kakak)</t>
  </si>
  <si>
    <t>0719.1433</t>
  </si>
  <si>
    <t>Gede Sumita Putra</t>
  </si>
  <si>
    <t>Jl Cokroaminoto no 128, Ubung Denpasar Utara</t>
  </si>
  <si>
    <t>5171042311980003</t>
  </si>
  <si>
    <t>5171041201160007</t>
  </si>
  <si>
    <t>0002109513993</t>
  </si>
  <si>
    <t>20000090256</t>
  </si>
  <si>
    <t>08970637437</t>
  </si>
  <si>
    <t>gedesumita@gmail.com</t>
  </si>
  <si>
    <t>Jl Cokroaminoto GG batukaru no 128 ubung</t>
  </si>
  <si>
    <t>085737165807</t>
  </si>
  <si>
    <t>0719.1434</t>
  </si>
  <si>
    <t>Hasgapi</t>
  </si>
  <si>
    <t>Kerumut, Pringgabaya, Lombok Timur</t>
  </si>
  <si>
    <t>5203083112960068</t>
  </si>
  <si>
    <t>5203082404120034</t>
  </si>
  <si>
    <t>0000839066602</t>
  </si>
  <si>
    <t>20000090223</t>
  </si>
  <si>
    <t>082340071817</t>
  </si>
  <si>
    <t>hasgafi@gmail.com</t>
  </si>
  <si>
    <t>jl dewata gg harum manis no 1</t>
  </si>
  <si>
    <t>081372703097(kakak)</t>
  </si>
  <si>
    <t>0719.1435</t>
  </si>
  <si>
    <t>Bayu Febri Kurniawan</t>
  </si>
  <si>
    <t>Ds Sumberejo, Glundengan, Jember</t>
  </si>
  <si>
    <t>3509112302960003</t>
  </si>
  <si>
    <t>082231261302</t>
  </si>
  <si>
    <t>Jl. Taman sari No. I A</t>
  </si>
  <si>
    <t>08232773590 (Bapak)</t>
  </si>
  <si>
    <t>I Made Surata</t>
  </si>
  <si>
    <t>Banjar Poyan, Luwus, Baturiti</t>
  </si>
  <si>
    <t>5102091411000004</t>
  </si>
  <si>
    <t>5102091903087839</t>
  </si>
  <si>
    <t>20022390205</t>
  </si>
  <si>
    <t>085739238063</t>
  </si>
  <si>
    <t>tapanjing123@icloud.com</t>
  </si>
  <si>
    <t>Br poyan ds luwus baturiti</t>
  </si>
  <si>
    <t xml:space="preserve">SMK </t>
  </si>
  <si>
    <t>0811936915155(saudara)</t>
  </si>
  <si>
    <t>0719.1437</t>
  </si>
  <si>
    <t>Stefanus Jade</t>
  </si>
  <si>
    <t>Kipo</t>
  </si>
  <si>
    <t>KIPO, LEMBUR KOTA KOMBA</t>
  </si>
  <si>
    <t>5319060701970007</t>
  </si>
  <si>
    <t>5319063007081610</t>
  </si>
  <si>
    <t>0000870381617</t>
  </si>
  <si>
    <t>20022390221</t>
  </si>
  <si>
    <t>081236194674</t>
  </si>
  <si>
    <t xml:space="preserve">stefanusjade13@gmail.com </t>
  </si>
  <si>
    <t>br muding kaja kerobokan</t>
  </si>
  <si>
    <t>SMK ATPH</t>
  </si>
  <si>
    <t>0813698690149(Ibu)</t>
  </si>
  <si>
    <t>0719.1438</t>
  </si>
  <si>
    <t>Sylvia Jadhisna</t>
  </si>
  <si>
    <t>0819.1474</t>
  </si>
  <si>
    <t>1474</t>
  </si>
  <si>
    <t>GM</t>
  </si>
  <si>
    <t>HEAD OFFICE 1</t>
  </si>
  <si>
    <t>OFFICE</t>
  </si>
  <si>
    <t>Eben Ahmed Yasin</t>
  </si>
  <si>
    <t>Dusun Curahjati, RT.005, RW.002, Ds. Grajagan, Kec. Purwoharjo</t>
  </si>
  <si>
    <t>3510030212920004</t>
  </si>
  <si>
    <t>082144114094</t>
  </si>
  <si>
    <t>Pulau Misol</t>
  </si>
  <si>
    <t>082234521727 (Istri)</t>
  </si>
  <si>
    <t>SCM</t>
  </si>
  <si>
    <t>I Gusti Ngurah Yogi Trisna Saputra</t>
  </si>
  <si>
    <t>LK Kertasari, padangkerta, karangasem bali</t>
  </si>
  <si>
    <t>5107042907990001</t>
  </si>
  <si>
    <t>5107041704170005</t>
  </si>
  <si>
    <t>0001171209093</t>
  </si>
  <si>
    <t>20013976061</t>
  </si>
  <si>
    <t>082236448599</t>
  </si>
  <si>
    <t>ngurahyogi1@yahoo.com</t>
  </si>
  <si>
    <t>JL Hayam Wuruk GG VII no 1</t>
  </si>
  <si>
    <t>081337559478(bpak)</t>
  </si>
  <si>
    <t>0819.1441</t>
  </si>
  <si>
    <t>I Nyoman Arta Yasa</t>
  </si>
  <si>
    <t>5102092507000002</t>
  </si>
  <si>
    <t>5102091903085238</t>
  </si>
  <si>
    <t>087779048019</t>
  </si>
  <si>
    <t>artakomang603@gmail.com</t>
  </si>
  <si>
    <t>Jl Sedap Malam, gang lavender no 8 sanur</t>
  </si>
  <si>
    <t>087863493992(ibu)</t>
  </si>
  <si>
    <t>0819.1440</t>
  </si>
  <si>
    <t>Muhammad Fikri</t>
  </si>
  <si>
    <t>Sekayu</t>
  </si>
  <si>
    <t>Jl. Sukawinatan No. 09, Palembang, Sumatra Selatan</t>
  </si>
  <si>
    <t>1671071406990013</t>
  </si>
  <si>
    <t>085237980126</t>
  </si>
  <si>
    <t>Jl. Cargo Indah IV No. 9X Desa Ubung Kaja</t>
  </si>
  <si>
    <t>087730515315 (kakak)</t>
  </si>
  <si>
    <t>Luffi Wardani</t>
  </si>
  <si>
    <t>Jl Margodadi 1/58 RT1,RW7, Gundih, Bubutan Surabaya</t>
  </si>
  <si>
    <t>3578134306970003</t>
  </si>
  <si>
    <t>3578132001160001</t>
  </si>
  <si>
    <t>0002108957387</t>
  </si>
  <si>
    <t>08987003631</t>
  </si>
  <si>
    <t>lutviawardani0306@gmail.com</t>
  </si>
  <si>
    <t>Jl satelite no 40L</t>
  </si>
  <si>
    <t>Diploma</t>
  </si>
  <si>
    <t>089860923403(ibu)</t>
  </si>
  <si>
    <t>0819.1443</t>
  </si>
  <si>
    <t>I Gusti Ayu Agung Surya Widhiningrat</t>
  </si>
  <si>
    <t>Banjar Dinas Sanggulan</t>
  </si>
  <si>
    <t>5102055707960002</t>
  </si>
  <si>
    <t>5102062111170001</t>
  </si>
  <si>
    <t>74.428.508.1-908.000</t>
  </si>
  <si>
    <t>0002271174581</t>
  </si>
  <si>
    <t>087861141745</t>
  </si>
  <si>
    <t>widhiningrat@gmail.com</t>
  </si>
  <si>
    <t>banjar dinas sanggulan, gang nakula banjar anyar kediri tabanan</t>
  </si>
  <si>
    <t>087701433227(ibu)</t>
  </si>
  <si>
    <t>0819.1444</t>
  </si>
  <si>
    <t>Dwi Heri Riswono</t>
  </si>
  <si>
    <t>Geneng, RT5 RW2, Margomulyo, Bojonegoro</t>
  </si>
  <si>
    <t>3522222703000001</t>
  </si>
  <si>
    <t>3522221601075907</t>
  </si>
  <si>
    <t>0001860061634</t>
  </si>
  <si>
    <t>20013976145</t>
  </si>
  <si>
    <t>088216947944</t>
  </si>
  <si>
    <t>terjalsektorbarat22@gmail.com</t>
  </si>
  <si>
    <t>jl pulau misol gg 20xx</t>
  </si>
  <si>
    <t>0819.1445</t>
  </si>
  <si>
    <t>Kadek Juniantara</t>
  </si>
  <si>
    <t>Jumpai</t>
  </si>
  <si>
    <t>Dusu Kangin desa jumpai, Klumgkung</t>
  </si>
  <si>
    <t>5105030606010002</t>
  </si>
  <si>
    <t>2105031807072093</t>
  </si>
  <si>
    <t>0001442195043</t>
  </si>
  <si>
    <t>20013976087</t>
  </si>
  <si>
    <t>087768266381</t>
  </si>
  <si>
    <t>kadekjuniantara3@gmail.com</t>
  </si>
  <si>
    <t>Br kangin desa Jumpai</t>
  </si>
  <si>
    <t>085953885411</t>
  </si>
  <si>
    <t>0819.1446</t>
  </si>
  <si>
    <t>Sugeng Iga Prasetya</t>
  </si>
  <si>
    <t>Dusun Silirsari , Keselir , Banyuwangi</t>
  </si>
  <si>
    <t>3510020412980003</t>
  </si>
  <si>
    <t>3510222711170003</t>
  </si>
  <si>
    <t>0001704195652</t>
  </si>
  <si>
    <t>20006263840</t>
  </si>
  <si>
    <t>082332983933</t>
  </si>
  <si>
    <t>sugengmuvida98@gmail.com</t>
  </si>
  <si>
    <t>Jl. Juwet Sari Gg. Sulawesi Pemogan</t>
  </si>
  <si>
    <t>SMA / IPA</t>
  </si>
  <si>
    <t>082234831742</t>
  </si>
  <si>
    <t>0919.1448</t>
  </si>
  <si>
    <t>Kadek Sintha Andini Putri</t>
  </si>
  <si>
    <t>Wanagiri</t>
  </si>
  <si>
    <t>Jl. Ratulangi</t>
  </si>
  <si>
    <t>5108065408960005</t>
  </si>
  <si>
    <t>5108061006100040</t>
  </si>
  <si>
    <t>76.152.208.5-902.000</t>
  </si>
  <si>
    <t>0002224471094</t>
  </si>
  <si>
    <t>19058227299</t>
  </si>
  <si>
    <t>081338404505</t>
  </si>
  <si>
    <t>sinthaputri.id96@gmail.com</t>
  </si>
  <si>
    <t>Jl.Ratulangi</t>
  </si>
  <si>
    <t>0919.1450</t>
  </si>
  <si>
    <t>Fadil Fanzuri</t>
  </si>
  <si>
    <t>JL Imam Bonjol GG Segina VI/31 Pekandelan, Denpasar</t>
  </si>
  <si>
    <t>5171032004980004</t>
  </si>
  <si>
    <t>5171032704070246</t>
  </si>
  <si>
    <t>0001406832581</t>
  </si>
  <si>
    <t>20013976079</t>
  </si>
  <si>
    <t>08911267528</t>
  </si>
  <si>
    <t>fadilfanzuri@gmail.com</t>
  </si>
  <si>
    <t>jl teuku umar barat gg segina vi no 31</t>
  </si>
  <si>
    <t>087862926640</t>
  </si>
  <si>
    <t>0919.1449</t>
  </si>
  <si>
    <t>Fitri Ramadhani</t>
  </si>
  <si>
    <t>Lingk. Snysr Kelod Jl. Tegal Cupek Gang Subali</t>
  </si>
  <si>
    <t>5103066602950002</t>
  </si>
  <si>
    <t>087865944123</t>
  </si>
  <si>
    <t>082145283332 (ibu)</t>
  </si>
  <si>
    <t>Ervan Rian Hermawan</t>
  </si>
  <si>
    <t>0919.1453</t>
  </si>
  <si>
    <t>WAREHOUSE</t>
  </si>
  <si>
    <t>Arensius Engelbertus Riojedaut</t>
  </si>
  <si>
    <t>Munting</t>
  </si>
  <si>
    <t>5310111105000003</t>
  </si>
  <si>
    <t>082247192047</t>
  </si>
  <si>
    <t>082340611131 (Remon)</t>
  </si>
  <si>
    <t>Ni Putu Tina Ambara Wati</t>
  </si>
  <si>
    <t>Kekeran</t>
  </si>
  <si>
    <t>Br Tauman Kekeran, Mengwi, Badung</t>
  </si>
  <si>
    <t>5103024605970004</t>
  </si>
  <si>
    <t>5103022110060049</t>
  </si>
  <si>
    <t>0000821890844</t>
  </si>
  <si>
    <t>20013976178</t>
  </si>
  <si>
    <t>085737203360</t>
  </si>
  <si>
    <t>tinaambarawati44@gmail.com</t>
  </si>
  <si>
    <t>jl cendana no 12 br taman, kekeran mengwi</t>
  </si>
  <si>
    <t>085237230781(ibu)</t>
  </si>
  <si>
    <t>0919.1451</t>
  </si>
  <si>
    <t>Ahmad Zulfahmi</t>
  </si>
  <si>
    <t xml:space="preserve">JL. RAYA DIPONEGORO GG ULAM KENCANA II/GA BR/LINK .A </t>
  </si>
  <si>
    <t>5171011409000003</t>
  </si>
  <si>
    <t>5171011106070602</t>
  </si>
  <si>
    <t>0000827348016</t>
  </si>
  <si>
    <t>18059126393</t>
  </si>
  <si>
    <t>081237405069</t>
  </si>
  <si>
    <t>katsurito12@gmail.com</t>
  </si>
  <si>
    <t>Jalan Kresek Gg Ikan Tuna 2 No 14A, Denpasar Selatan</t>
  </si>
  <si>
    <t>SMK AKUNTANSI</t>
  </si>
  <si>
    <t>0919.1454</t>
  </si>
  <si>
    <t>Anak Agung Gde Krisna Dharmayuda Prastika</t>
  </si>
  <si>
    <t>Jl.Tukad Citarum No.48 Br.Kerta Sari, Panjer , Denpasar Selatan</t>
  </si>
  <si>
    <t>5171011003970004</t>
  </si>
  <si>
    <t>5171010406070203</t>
  </si>
  <si>
    <t>0002936191926</t>
  </si>
  <si>
    <t>20013976103</t>
  </si>
  <si>
    <t>082247641141</t>
  </si>
  <si>
    <t>gungkrisna10@gmail.com</t>
  </si>
  <si>
    <t>Jl. Tukad Citarum No.48A , Panjer , Denpasar</t>
  </si>
  <si>
    <t>D1 / Pariwisata</t>
  </si>
  <si>
    <t>08164744417</t>
  </si>
  <si>
    <t>0919.1455</t>
  </si>
  <si>
    <t>Agus Fauzi</t>
  </si>
  <si>
    <t>Cilacap</t>
  </si>
  <si>
    <t>Cilempuyang, RT1 RW1, Cilempuyang cimanggu, Cilacap</t>
  </si>
  <si>
    <t>3301130408980003</t>
  </si>
  <si>
    <t>3301130312070006</t>
  </si>
  <si>
    <t>90.785.240.4-522.000</t>
  </si>
  <si>
    <t>0000518757726</t>
  </si>
  <si>
    <t>081216268818</t>
  </si>
  <si>
    <t>dhenozi04@gmail.com</t>
  </si>
  <si>
    <t>JL Tambak sari gg 3, kapal mengwi badung</t>
  </si>
  <si>
    <t>087800085059(Ibu)</t>
  </si>
  <si>
    <t>0919.1456</t>
  </si>
  <si>
    <t>I Komang Bagus Yoga Adi Permana</t>
  </si>
  <si>
    <t>Tukadaya</t>
  </si>
  <si>
    <t>Banjar Berawan Tangi Taman Ds Tukadaya Kec. Melaya</t>
  </si>
  <si>
    <t>5101041205930002</t>
  </si>
  <si>
    <t>087864120562</t>
  </si>
  <si>
    <t>Jl Sekar Tunjung 2 Gang 1 No 21 Gatot Subroto Timur</t>
  </si>
  <si>
    <t>87863213121 (Kakak)</t>
  </si>
  <si>
    <t>Ely Indri Putri</t>
  </si>
  <si>
    <t>Dusun pelangan barat, pelangan sekotong</t>
  </si>
  <si>
    <t>5201075003990002</t>
  </si>
  <si>
    <t>5201072712110017</t>
  </si>
  <si>
    <t>0002661966022</t>
  </si>
  <si>
    <t>19020687133</t>
  </si>
  <si>
    <t>087863360960</t>
  </si>
  <si>
    <t>Elyindriputri@gmail.com</t>
  </si>
  <si>
    <t>jl karya makmur gg mucuk sari</t>
  </si>
  <si>
    <t>087822823098</t>
  </si>
  <si>
    <t>0919.1460</t>
  </si>
  <si>
    <t>I Wayan Dadi Darma</t>
  </si>
  <si>
    <t>Jl. Raya Sesetan No 609</t>
  </si>
  <si>
    <t>5171012909950006</t>
  </si>
  <si>
    <t>089686672266</t>
  </si>
  <si>
    <t>Jl Palapa XI Gg Mekardadi No 20</t>
  </si>
  <si>
    <t>089712008310 (Ibu)</t>
  </si>
  <si>
    <t>Kadek Dwi Supriawan</t>
  </si>
  <si>
    <t>PERUM PEGENDING PERMAI BLOK VIII NO 6 BR. PEGENDING</t>
  </si>
  <si>
    <t>5103060605780004</t>
  </si>
  <si>
    <t>5103060109100009</t>
  </si>
  <si>
    <t>48.928.082 6-906.000</t>
  </si>
  <si>
    <t>0001963264015</t>
  </si>
  <si>
    <t>20027973757</t>
  </si>
  <si>
    <t>081337115588</t>
  </si>
  <si>
    <t>dwisupriawan@gmail.com</t>
  </si>
  <si>
    <t>PERUM PEGENDING PERMAI BLOK VIII/6 DALUNG</t>
  </si>
  <si>
    <t>S1 MANAGEMENT</t>
  </si>
  <si>
    <t>0919.1459</t>
  </si>
  <si>
    <t>Sarafina Amelinda Praptadea Dewi</t>
  </si>
  <si>
    <t>Dusun Grajagan Pantai RT1RW3, Grajagan, Purwoharjo</t>
  </si>
  <si>
    <t>3510036410950005</t>
  </si>
  <si>
    <t>3510032005130007</t>
  </si>
  <si>
    <t>20013976095</t>
  </si>
  <si>
    <t>081934826924</t>
  </si>
  <si>
    <t>sarafina.ap@gmail.com</t>
  </si>
  <si>
    <t>Jl By Pass Ngurah Rai no 19</t>
  </si>
  <si>
    <t>S Komputer</t>
  </si>
  <si>
    <t>081934778385(Ibu)</t>
  </si>
  <si>
    <t>0919.1463</t>
  </si>
  <si>
    <t>A. Nova Anggraeni</t>
  </si>
  <si>
    <t>Sinjai</t>
  </si>
  <si>
    <t>A+</t>
  </si>
  <si>
    <t>Dusun Bonto lohe, tellu limpoe</t>
  </si>
  <si>
    <t>7401085507960002</t>
  </si>
  <si>
    <t>7307082901051782</t>
  </si>
  <si>
    <t>0002925716916</t>
  </si>
  <si>
    <t>20013976186</t>
  </si>
  <si>
    <t>082187464166</t>
  </si>
  <si>
    <t>anovaangraeni@gmail.com</t>
  </si>
  <si>
    <t>jln abdesir lorong V kec,panakukkang, makassar</t>
  </si>
  <si>
    <t>0919.1461</t>
  </si>
  <si>
    <t>Salminah</t>
  </si>
  <si>
    <t>Kg,Quainn Hill</t>
  </si>
  <si>
    <t>Masumpu, mattampa walie, Mare</t>
  </si>
  <si>
    <t>7308075304940001</t>
  </si>
  <si>
    <t>7308070205083638</t>
  </si>
  <si>
    <t>0002170953202</t>
  </si>
  <si>
    <t>085398084412</t>
  </si>
  <si>
    <t>inha.salminah11@gmail.com</t>
  </si>
  <si>
    <t>jl syekh yusuf 1, gowa</t>
  </si>
  <si>
    <t>0919.1462</t>
  </si>
  <si>
    <t>I Putu Darma Yasa Wiantara</t>
  </si>
  <si>
    <t xml:space="preserve">Banjar Kepuh  </t>
  </si>
  <si>
    <t>5101022301000006</t>
  </si>
  <si>
    <t>5101020205090855</t>
  </si>
  <si>
    <t>0001583656727</t>
  </si>
  <si>
    <t>20013976137</t>
  </si>
  <si>
    <t>083116046665</t>
  </si>
  <si>
    <t>bbid.darmayasa@gmail.com</t>
  </si>
  <si>
    <t>Gg kerinci no 5 sanur.Renon</t>
  </si>
  <si>
    <t>085954067973</t>
  </si>
  <si>
    <t>0919.1464</t>
  </si>
  <si>
    <t>I Gusti Nyoman Adi Mahardika</t>
  </si>
  <si>
    <t>Banjar Munduk, Kaliakah, Negara</t>
  </si>
  <si>
    <t>5101012104000005</t>
  </si>
  <si>
    <t>5101010405090478</t>
  </si>
  <si>
    <t>0000819733307</t>
  </si>
  <si>
    <t>20013976111</t>
  </si>
  <si>
    <t>085858258251</t>
  </si>
  <si>
    <t>dewaputrakatak@gmail.com</t>
  </si>
  <si>
    <t>jl tangkuban perahu perum tegal belong no 23c</t>
  </si>
  <si>
    <t>0919.1465</t>
  </si>
  <si>
    <t>Made Widiantari</t>
  </si>
  <si>
    <t>Tejakual</t>
  </si>
  <si>
    <t>Banjar Dinas Kanginan, Desa Tejakula</t>
  </si>
  <si>
    <t>5108095505970006</t>
  </si>
  <si>
    <t>082142071296</t>
  </si>
  <si>
    <t>Jl Gelogor Carik, Pemogan</t>
  </si>
  <si>
    <t>082147426378 (Pacar)</t>
  </si>
  <si>
    <t>Hendrikus Edo</t>
  </si>
  <si>
    <t>Sesok</t>
  </si>
  <si>
    <t>Sesok RT5 RW2, Gunung, Kota Komba</t>
  </si>
  <si>
    <t>5319060703980003</t>
  </si>
  <si>
    <t>5319063007084024</t>
  </si>
  <si>
    <t>0000870167733</t>
  </si>
  <si>
    <t>20022390239</t>
  </si>
  <si>
    <t>082129153865</t>
  </si>
  <si>
    <t>edhoasregal@gmail.com</t>
  </si>
  <si>
    <t>Jl teuku umar barat gg marlboro</t>
  </si>
  <si>
    <t>D1 perpajakan</t>
  </si>
  <si>
    <t>081239093956 (bapak</t>
  </si>
  <si>
    <t>1019.1467</t>
  </si>
  <si>
    <t>Hendrawan</t>
  </si>
  <si>
    <t>Aik Dewa Selatan</t>
  </si>
  <si>
    <t>Rt Karangasem, dsn Aikdewa selatan, Lombok</t>
  </si>
  <si>
    <t>5203120410000002</t>
  </si>
  <si>
    <t>5203120809070471</t>
  </si>
  <si>
    <t>0002817261044</t>
  </si>
  <si>
    <t>20022390213</t>
  </si>
  <si>
    <t>endot869@gmail.com</t>
  </si>
  <si>
    <t>JL TUKAD BANYUSARI GG III NO 6</t>
  </si>
  <si>
    <t>1019.1468</t>
  </si>
  <si>
    <t>Mutmainnah</t>
  </si>
  <si>
    <t>JL A Yani GG 2 B RT1, Wanasari, Dauh Puri Kaja, Denpasar Utara</t>
  </si>
  <si>
    <t>5171044501950010</t>
  </si>
  <si>
    <t>5171042507070355</t>
  </si>
  <si>
    <t>0001720991676</t>
  </si>
  <si>
    <t>20022390189</t>
  </si>
  <si>
    <t>087754420839</t>
  </si>
  <si>
    <t>mutmainnahhusin38@gmail.com</t>
  </si>
  <si>
    <t>jl gunung soputan perumahan pondok galeria gg 51</t>
  </si>
  <si>
    <t>085858543579(teman)</t>
  </si>
  <si>
    <t>1019.1469</t>
  </si>
  <si>
    <t>Gusti Agus Trijayantara</t>
  </si>
  <si>
    <t>br binas suksuk, bondalem tejakula</t>
  </si>
  <si>
    <t>5108090608990003</t>
  </si>
  <si>
    <t>0000828590308</t>
  </si>
  <si>
    <t>20027973724</t>
  </si>
  <si>
    <t>jayantara1999@gmail.com</t>
  </si>
  <si>
    <t>jalan tukad petanu</t>
  </si>
  <si>
    <t>1019.1470</t>
  </si>
  <si>
    <t>I Komang Wahyu Wira Dharma</t>
  </si>
  <si>
    <t>Jl ry Puputan gg nagapasa no 4 Panjer</t>
  </si>
  <si>
    <t>5171031609010001</t>
  </si>
  <si>
    <t>5171030212060104</t>
  </si>
  <si>
    <t>0002280175389</t>
  </si>
  <si>
    <t>20022390247</t>
  </si>
  <si>
    <t>wahyuwira966@gmail.com</t>
  </si>
  <si>
    <t>1119.1471</t>
  </si>
  <si>
    <t>Al.Irsad Akmal</t>
  </si>
  <si>
    <t>Labolong</t>
  </si>
  <si>
    <t>Si bolong polong, siwolong polong, mattiro sompe</t>
  </si>
  <si>
    <t>7315012704000002</t>
  </si>
  <si>
    <t>20027973765</t>
  </si>
  <si>
    <t>082349227947</t>
  </si>
  <si>
    <t>alirsyadakmalhibatullah@gmail.com</t>
  </si>
  <si>
    <t>jl inspeksi pak lorong 5, kelurahaan manggala, kota makassar</t>
  </si>
  <si>
    <t>1119.1472</t>
  </si>
  <si>
    <t>I Gede Agus Ari Budi Kusuma</t>
  </si>
  <si>
    <t>Pengeragoan</t>
  </si>
  <si>
    <t>Banjar Badingkayu</t>
  </si>
  <si>
    <t>5101032503980004</t>
  </si>
  <si>
    <t>085847872875</t>
  </si>
  <si>
    <t>081805663550 (Ibu)</t>
  </si>
  <si>
    <t>A.A Gde Putra Dwijadiningrat</t>
  </si>
  <si>
    <t>JL tukad Citarum nO 48. BR?LINK. Kerta Sari Panjer, Denpasar</t>
  </si>
  <si>
    <t>5171012202990003</t>
  </si>
  <si>
    <t>0002930946063</t>
  </si>
  <si>
    <t>20027973690</t>
  </si>
  <si>
    <t>089520904406</t>
  </si>
  <si>
    <t>gunggdeputra@gmail.com</t>
  </si>
  <si>
    <t>jl tukad citarum no 48 br kertasari, Denpasar</t>
  </si>
  <si>
    <t>1119.1474</t>
  </si>
  <si>
    <t>Citra Dhea Veronica</t>
  </si>
  <si>
    <t>Jl Suryabuana Batuculung Kerobokan Kaja, Kuta Utara</t>
  </si>
  <si>
    <t>5103064808980004</t>
  </si>
  <si>
    <t>5103061802110007</t>
  </si>
  <si>
    <t>0001582273517</t>
  </si>
  <si>
    <t>20027973716</t>
  </si>
  <si>
    <t>0895623411266</t>
  </si>
  <si>
    <t>citradheaverica8@gmail.com</t>
  </si>
  <si>
    <t>Jl surya bhuana no 38</t>
  </si>
  <si>
    <t>0818554020 (ayah)</t>
  </si>
  <si>
    <t>1119.1475</t>
  </si>
  <si>
    <t>Ni Putu Mega Supriani</t>
  </si>
  <si>
    <t>Jl Gunung Guntur no 17 Denpasar, BR/LINK tegeh sari,Padang Sambian Kaja</t>
  </si>
  <si>
    <t>5171036308980002</t>
  </si>
  <si>
    <t>5171031007070032</t>
  </si>
  <si>
    <t>0000828569147</t>
  </si>
  <si>
    <t>20027973781</t>
  </si>
  <si>
    <t>087784626508</t>
  </si>
  <si>
    <t>megasupriani23@gmail.com</t>
  </si>
  <si>
    <t>jl kebo iwa br uma kelungkung</t>
  </si>
  <si>
    <t>081916023263</t>
  </si>
  <si>
    <t>1119.1477</t>
  </si>
  <si>
    <t>Ni Putu Sri Dewi Eka Pujiani</t>
  </si>
  <si>
    <t>Jl Plawa no 54, Pagan Tengan, Sumerta Kauh, Denpasar Timur</t>
  </si>
  <si>
    <t>5171024503000006</t>
  </si>
  <si>
    <t>5171020709110001</t>
  </si>
  <si>
    <t>0002846915526</t>
  </si>
  <si>
    <t>20027973732</t>
  </si>
  <si>
    <t>081236817194</t>
  </si>
  <si>
    <t>ekapujiani24@gmail.com</t>
  </si>
  <si>
    <t>Jl Cekomaria gg lestari no2 DPS</t>
  </si>
  <si>
    <t>085739758052(ibu)</t>
  </si>
  <si>
    <t>1119.1476</t>
  </si>
  <si>
    <t>Fijendral Hulu</t>
  </si>
  <si>
    <t>Soroma'asi</t>
  </si>
  <si>
    <t>Hilizanuwo</t>
  </si>
  <si>
    <t>1214032010000012</t>
  </si>
  <si>
    <t>1214032008100001</t>
  </si>
  <si>
    <t>0000253025166</t>
  </si>
  <si>
    <t>081335106525</t>
  </si>
  <si>
    <t>Fijendralhulu@gmail.com</t>
  </si>
  <si>
    <t>JL KESATRIAN, GIANYAR</t>
  </si>
  <si>
    <t>081380638794 (KAKAK)</t>
  </si>
  <si>
    <t>1119.1478</t>
  </si>
  <si>
    <t>Dian Efendi</t>
  </si>
  <si>
    <t>Dusun Krajan RT02 RW04, Desa Mojosari Kec Puger</t>
  </si>
  <si>
    <t>3509081601900001</t>
  </si>
  <si>
    <t>3509080109051812</t>
  </si>
  <si>
    <t>20027973740</t>
  </si>
  <si>
    <t>085232951665</t>
  </si>
  <si>
    <t>dianefendi180@gmail.com</t>
  </si>
  <si>
    <t>jl pulau spiori gg 2 no 1</t>
  </si>
  <si>
    <t>1119.1480</t>
  </si>
  <si>
    <t>Roynaldi Oktavian</t>
  </si>
  <si>
    <t>3509090110960007</t>
  </si>
  <si>
    <t>082234948640</t>
  </si>
  <si>
    <t>Jl Pulau Ayu Selatan Gg Babi, No 15 Teuku Umar</t>
  </si>
  <si>
    <t>082332165394 (Teman Kost)</t>
  </si>
  <si>
    <t>Putu Aditya Widyasmara</t>
  </si>
  <si>
    <t>jl tukad citarum no 50, panjer denpasar selatan</t>
  </si>
  <si>
    <t>5171032006960001</t>
  </si>
  <si>
    <t>5171032212060002</t>
  </si>
  <si>
    <t>20027973773</t>
  </si>
  <si>
    <t>tuadityaw53@gmail.com</t>
  </si>
  <si>
    <t>jl tukad citarum no 53</t>
  </si>
  <si>
    <t>1119.1481</t>
  </si>
  <si>
    <t>Rohani Rabani</t>
  </si>
  <si>
    <t>Depok</t>
  </si>
  <si>
    <t>KP parung belimbing rt 03/04 pancoran mas depok</t>
  </si>
  <si>
    <t>3276016707980006</t>
  </si>
  <si>
    <t>081808031226</t>
  </si>
  <si>
    <t>Jl Negara  Batuan 99 Sekar jepun, Sukawati Gianyar</t>
  </si>
  <si>
    <t>085739030045 (Sepupu)</t>
  </si>
  <si>
    <t>Ni Luh Anggiani</t>
  </si>
  <si>
    <t>Nongan</t>
  </si>
  <si>
    <t xml:space="preserve">Br dinas Ambengan, Nongan Rendang, Karangasem </t>
  </si>
  <si>
    <t>5107015412990001</t>
  </si>
  <si>
    <t>5107012909090048</t>
  </si>
  <si>
    <t>0001735183282</t>
  </si>
  <si>
    <t>20027973708</t>
  </si>
  <si>
    <t>085792182380</t>
  </si>
  <si>
    <t>yanianggi625@gmail.com</t>
  </si>
  <si>
    <t>Jl soka gg kertapura VI, kesiman</t>
  </si>
  <si>
    <t>085237883105</t>
  </si>
  <si>
    <t>1119.1483</t>
  </si>
  <si>
    <t>Handjaja Wigiarto</t>
  </si>
  <si>
    <t>Jl Kenanga no 2853 A, Kota Palembang</t>
  </si>
  <si>
    <t>1671060106690006</t>
  </si>
  <si>
    <t>08.439.805.6-301.000</t>
  </si>
  <si>
    <t>0002270597319</t>
  </si>
  <si>
    <t>handjaja_wigiarto@yahoo.com</t>
  </si>
  <si>
    <t>1119.1493</t>
  </si>
  <si>
    <t>Area Manager Sumatera</t>
  </si>
  <si>
    <t>Tri Juanita Asdhara</t>
  </si>
  <si>
    <t>Jl. TGH. Zainudin Abdul Majid, Selong, Lombok Timur</t>
  </si>
  <si>
    <t>5203076202950006</t>
  </si>
  <si>
    <t>087750350292</t>
  </si>
  <si>
    <t>Gang Kaliasem, Sesetan Denpasar</t>
  </si>
  <si>
    <t>087755085400 (kakak)</t>
  </si>
  <si>
    <t>Nadien Syafira</t>
  </si>
  <si>
    <t>Jl Kesehatan RT1 RW1, Bokasape, Wolowaru Ende</t>
  </si>
  <si>
    <t>5308084707000004</t>
  </si>
  <si>
    <t>0002663495785</t>
  </si>
  <si>
    <t>20032578427</t>
  </si>
  <si>
    <t>nadiensafira20@gmail.com</t>
  </si>
  <si>
    <t>JL. KARYA MAKMUR GG MUKUH SARI NO 11</t>
  </si>
  <si>
    <t>1219.1485</t>
  </si>
  <si>
    <t>Alang Pandu Dewanata</t>
  </si>
  <si>
    <t>Jl. Wr Supratman GG III 1A/2 DPS, Kertalangu</t>
  </si>
  <si>
    <t>5171021610980004</t>
  </si>
  <si>
    <t>5171022312140015</t>
  </si>
  <si>
    <t>0002238175181</t>
  </si>
  <si>
    <t>20032578468</t>
  </si>
  <si>
    <t>081239731100</t>
  </si>
  <si>
    <t>alangpandu1998@gmail.com</t>
  </si>
  <si>
    <t>Jl W.R Supratman GG III</t>
  </si>
  <si>
    <t>082146276081</t>
  </si>
  <si>
    <t>1219.1486</t>
  </si>
  <si>
    <t>Dandy Bagus Permana</t>
  </si>
  <si>
    <t xml:space="preserve"> Banyuwangi</t>
  </si>
  <si>
    <t>Dusun bongkoran RT4 RW2 Parijatan Wetan, Banyuwangi</t>
  </si>
  <si>
    <t>3510083006960008</t>
  </si>
  <si>
    <t>3510081610056166</t>
  </si>
  <si>
    <t>91.318.042.8-627.000</t>
  </si>
  <si>
    <t>0002936742052</t>
  </si>
  <si>
    <t>20032578435</t>
  </si>
  <si>
    <t>085237359407</t>
  </si>
  <si>
    <t>permanadandy88@gmail.com</t>
  </si>
  <si>
    <t>Jl Kediri Tuban, Kuta</t>
  </si>
  <si>
    <t>D3</t>
  </si>
  <si>
    <t>081284018002</t>
  </si>
  <si>
    <t>1219.1487</t>
  </si>
  <si>
    <t>Untung Dwi Prasetyo</t>
  </si>
  <si>
    <t>Ds Bongkoran RT 04/RW 02, Ds Parijatah wetan Kec Srono Banyuwanig</t>
  </si>
  <si>
    <t>3510082502990002</t>
  </si>
  <si>
    <t>085335588368</t>
  </si>
  <si>
    <t>JL Raya Tuban Kediri Kuta</t>
  </si>
  <si>
    <t>081226838616 (saudara)</t>
  </si>
  <si>
    <t>Ni Kade Ary Widiastuti</t>
  </si>
  <si>
    <t>Lingkungan Baler Bale Agung, Tegal Cangkring, Mendoyo , Jembrana</t>
  </si>
  <si>
    <t>5101025112960001</t>
  </si>
  <si>
    <t>5101021505090993</t>
  </si>
  <si>
    <t>0002110846623</t>
  </si>
  <si>
    <t>17054509462</t>
  </si>
  <si>
    <t>085738000661</t>
  </si>
  <si>
    <t>arywidiastuti10@gmail.com</t>
  </si>
  <si>
    <t>Jl. Cokroaminoto Gg. Pucuk Sari No.12</t>
  </si>
  <si>
    <t>SMK / Adm</t>
  </si>
  <si>
    <t>081238461462</t>
  </si>
  <si>
    <t>1219.1491</t>
  </si>
  <si>
    <t>Emilianus Amigos</t>
  </si>
  <si>
    <t>Bali, compang lawi, sambi rampas, manggarai timur</t>
  </si>
  <si>
    <t>5319040704960001</t>
  </si>
  <si>
    <t>20032578443</t>
  </si>
  <si>
    <t>085847827348</t>
  </si>
  <si>
    <t>amigosemil@gmail.com</t>
  </si>
  <si>
    <t>jl kenyeri gg anggrek 17</t>
  </si>
  <si>
    <t>082236103136 (teman)</t>
  </si>
  <si>
    <t>1219.1489</t>
  </si>
  <si>
    <t>Muliana Dewi</t>
  </si>
  <si>
    <t>Lemokek Lauq, Babussalam, Gerung, Lombok Barat</t>
  </si>
  <si>
    <t>5201014707000001</t>
  </si>
  <si>
    <t>5201012606140010</t>
  </si>
  <si>
    <t>08984144279</t>
  </si>
  <si>
    <t>mulianadewi07@gmail.com</t>
  </si>
  <si>
    <t>jl raya pemogan no 166</t>
  </si>
  <si>
    <t>087866988374(ibu)</t>
  </si>
  <si>
    <t>1219.1490</t>
  </si>
  <si>
    <t>I Putu Arsadana</t>
  </si>
  <si>
    <t xml:space="preserve">A </t>
  </si>
  <si>
    <t>Jl Cokroaminoto 308 DPS, Br Batur ubung Denpasar Utara</t>
  </si>
  <si>
    <t>5171040810950004</t>
  </si>
  <si>
    <t>5171040305070178</t>
  </si>
  <si>
    <t>0002111435919</t>
  </si>
  <si>
    <t>20032578419</t>
  </si>
  <si>
    <t>085738832814</t>
  </si>
  <si>
    <t>putuarsadana12@gmail.com</t>
  </si>
  <si>
    <t>Jl cokroaminoto no 308 ubung Denpasar, Bali</t>
  </si>
  <si>
    <t xml:space="preserve">S1 Manajemen </t>
  </si>
  <si>
    <t>085792221814(ibu)</t>
  </si>
  <si>
    <t>1219.1492</t>
  </si>
  <si>
    <t>Masrianus Ardiyanto</t>
  </si>
  <si>
    <t>Biting</t>
  </si>
  <si>
    <t>5319022005970004</t>
  </si>
  <si>
    <t>5319023007084141</t>
  </si>
  <si>
    <t>0000871354855</t>
  </si>
  <si>
    <t>081339393153</t>
  </si>
  <si>
    <t>Jl Gunung Lebah 5 Monang Maning</t>
  </si>
  <si>
    <t>082147524632</t>
  </si>
  <si>
    <t>1219.1495</t>
  </si>
  <si>
    <t>Ida Ayu Widya Kusuma Dewi</t>
  </si>
  <si>
    <t>GG Ceningan Sari IV/31 Denpasar, Sesetan</t>
  </si>
  <si>
    <t>5171016710970009</t>
  </si>
  <si>
    <t>5171010806070029</t>
  </si>
  <si>
    <t>082146457793</t>
  </si>
  <si>
    <t>085792641408 (saudara)</t>
  </si>
  <si>
    <t>1219.1494</t>
  </si>
  <si>
    <t xml:space="preserve">Kasir </t>
  </si>
  <si>
    <t>M. Fikri Cahyo Putra</t>
  </si>
  <si>
    <t>Dsn Derwono, Balak, Songgon, Jawa Timur</t>
  </si>
  <si>
    <t>3510190910000003</t>
  </si>
  <si>
    <t>3510191904080056</t>
  </si>
  <si>
    <t>085730599540</t>
  </si>
  <si>
    <t>Perum Cemara Giri Graha Kaja, Dalung, Kuta Utara</t>
  </si>
  <si>
    <t>081248484319 (ibu)</t>
  </si>
  <si>
    <t>1219.1496</t>
  </si>
  <si>
    <t>Ahmad Rofiq</t>
  </si>
  <si>
    <t>DUSUN JATIREJO</t>
  </si>
  <si>
    <t>3509181206960002</t>
  </si>
  <si>
    <t>3509180509052795</t>
  </si>
  <si>
    <t>0000690507393</t>
  </si>
  <si>
    <t>20038182109</t>
  </si>
  <si>
    <t>085806849806</t>
  </si>
  <si>
    <t>rofek406@gmail.com</t>
  </si>
  <si>
    <t>Jl. Raya Kediri</t>
  </si>
  <si>
    <t>081331471542</t>
  </si>
  <si>
    <t>1219.1497</t>
  </si>
  <si>
    <t>Prayogo Sundoro</t>
  </si>
  <si>
    <t>Jl muding indah, perum muding agung, badung</t>
  </si>
  <si>
    <t>5103062505940005</t>
  </si>
  <si>
    <t>hold</t>
  </si>
  <si>
    <t>nicholas.sundoro@hotmail.com</t>
  </si>
  <si>
    <t>jl muding indah perumahan muding agung no 44 kerobokan, denpasar bali</t>
  </si>
  <si>
    <t>0120.1498</t>
  </si>
  <si>
    <t>Training</t>
  </si>
  <si>
    <t>Haerul</t>
  </si>
  <si>
    <t>Jln SinarRaga Lr.manggar 1 no 105 palembang</t>
  </si>
  <si>
    <t>1671101310930004</t>
  </si>
  <si>
    <t>0002763589836</t>
  </si>
  <si>
    <t>20038182125</t>
  </si>
  <si>
    <t>haerulza93@gmail.com</t>
  </si>
  <si>
    <t>Jl. Sinar Raga Lrg Manggar I No 105 Palembang</t>
  </si>
  <si>
    <t>0120.1500</t>
  </si>
  <si>
    <t>Megi Aprizal</t>
  </si>
  <si>
    <t>Jln luncuk jaya. Lorok Pakjo 1b1 Palembang</t>
  </si>
  <si>
    <t>1671041504930002</t>
  </si>
  <si>
    <t>081296162087</t>
  </si>
  <si>
    <t>Jln Lunjuk Jaya. Lorok Pakjo 1B1. Palembang</t>
  </si>
  <si>
    <t>081279724642 (Ibu)</t>
  </si>
  <si>
    <t>Komang Gioksan</t>
  </si>
  <si>
    <t>Jl. P Singkep no 2B, Pedungan, Denpasar Selatana</t>
  </si>
  <si>
    <t>5171011502960004</t>
  </si>
  <si>
    <t>5171010702170016</t>
  </si>
  <si>
    <t>20038182133</t>
  </si>
  <si>
    <t>085707312295</t>
  </si>
  <si>
    <t>gioksan20@gmail.com</t>
  </si>
  <si>
    <t>Jln P singkep no 2b pedungan</t>
  </si>
  <si>
    <t>SMA IT</t>
  </si>
  <si>
    <t>085738366894(ibu)</t>
  </si>
  <si>
    <t>0120.1503</t>
  </si>
  <si>
    <t>Siti Nuraini</t>
  </si>
  <si>
    <t>Jl bambang utoyo lr asta murca 2, kota palembang</t>
  </si>
  <si>
    <t>1671064503010004</t>
  </si>
  <si>
    <t>1671062605070080</t>
  </si>
  <si>
    <t>0000325396034</t>
  </si>
  <si>
    <t>20038182141</t>
  </si>
  <si>
    <t>nurainisiti625@gmail.com</t>
  </si>
  <si>
    <t>Jl. Bambang Utoyo Lrg Astamurca No 519 Palembang</t>
  </si>
  <si>
    <t>0120.1502</t>
  </si>
  <si>
    <t>Indah Fitriani</t>
  </si>
  <si>
    <t>RSSA Jln Cendana Blok 2 no 3</t>
  </si>
  <si>
    <t>089695791836</t>
  </si>
  <si>
    <t>RSSA Jln Cendana Blok 2 no 2</t>
  </si>
  <si>
    <t>085366265400 (Ibu)</t>
  </si>
  <si>
    <t>Andik Wijanarko</t>
  </si>
  <si>
    <t>Batam</t>
  </si>
  <si>
    <t>dsn selorejo, sodrejo, ponggok, BLITAR</t>
  </si>
  <si>
    <t>3505061605000003</t>
  </si>
  <si>
    <t>0002937448192</t>
  </si>
  <si>
    <t>20038182117</t>
  </si>
  <si>
    <t>andikwijanarko209@gmail.com</t>
  </si>
  <si>
    <t xml:space="preserve">Jln Puputan baru gg BDE Merpati </t>
  </si>
  <si>
    <t>0120.1504</t>
  </si>
  <si>
    <t>Sandhy Putra Pratama Rompis</t>
  </si>
  <si>
    <t>Ujung Pandang</t>
  </si>
  <si>
    <t>Jl gagak Lr 15mno 13lf, makassar</t>
  </si>
  <si>
    <t>7371041009900001</t>
  </si>
  <si>
    <t>737101070416007</t>
  </si>
  <si>
    <t>20038182257</t>
  </si>
  <si>
    <t>085330433334</t>
  </si>
  <si>
    <t>pratama.po0etra@gmail.com</t>
  </si>
  <si>
    <t>jln gagak lr 19 no 13 F kecamatam/kelurahan mariso</t>
  </si>
  <si>
    <t>0120.1505</t>
  </si>
  <si>
    <t>Astuti Siama</t>
  </si>
  <si>
    <t>Kondoran</t>
  </si>
  <si>
    <t>Kel Bena, Kec. Sangalla, Tana Toraja</t>
  </si>
  <si>
    <t>7318134207960002</t>
  </si>
  <si>
    <t>0000942040179</t>
  </si>
  <si>
    <t>20038182224</t>
  </si>
  <si>
    <t>081343822197</t>
  </si>
  <si>
    <t>astutisiama031@gmail.com</t>
  </si>
  <si>
    <t>jln perintis kemerdekaan 3 BTN, citra blok A7, tamalanrea, makassar</t>
  </si>
  <si>
    <t>0120.1506</t>
  </si>
  <si>
    <t>Salman Al farizi Selaparang</t>
  </si>
  <si>
    <t>Tenges, gereneng, sakra timur, lombok timur</t>
  </si>
  <si>
    <t>5203182303960001</t>
  </si>
  <si>
    <t>5203182911100018</t>
  </si>
  <si>
    <t>0002817545657</t>
  </si>
  <si>
    <t>20038182208</t>
  </si>
  <si>
    <t>mamansemet96@gmail.com</t>
  </si>
  <si>
    <t>jl tukad bnayusari gg 3 no 5 denpasar selatan</t>
  </si>
  <si>
    <t>0120.1508</t>
  </si>
  <si>
    <t>Satjan Hariadi</t>
  </si>
  <si>
    <t>Temending</t>
  </si>
  <si>
    <t>Toro 006/002 Penujak, Praya Barat.</t>
  </si>
  <si>
    <t>5202050101940004</t>
  </si>
  <si>
    <t>085964243452</t>
  </si>
  <si>
    <t>Jl Tantular No. 3 Renon</t>
  </si>
  <si>
    <t>085937014327 (Bibik)</t>
  </si>
  <si>
    <t>Seri Susilawati Kartini</t>
  </si>
  <si>
    <t>Gunung Mujur</t>
  </si>
  <si>
    <t>Gunung Joar, bujak, batukliang, lombok tengah</t>
  </si>
  <si>
    <t>5202036112990002</t>
  </si>
  <si>
    <t>5202032901080380</t>
  </si>
  <si>
    <t>0002662210438</t>
  </si>
  <si>
    <t>20038182232</t>
  </si>
  <si>
    <t>serisusilawati501@gmail.com</t>
  </si>
  <si>
    <t>jl kresek gg ikan tuna no II sesetan</t>
  </si>
  <si>
    <t>0220.1509</t>
  </si>
  <si>
    <t>Kasir Pooling</t>
  </si>
  <si>
    <t>Ni Kadek Mia Wulandari_1</t>
  </si>
  <si>
    <t>Sembung, Badung</t>
  </si>
  <si>
    <t>Br Pempatan Desa Sembung Mengwi. Badung</t>
  </si>
  <si>
    <t>5103024305080001</t>
  </si>
  <si>
    <t>085792670205</t>
  </si>
  <si>
    <t xml:space="preserve">Br Pempatan, Sembung Mengwi </t>
  </si>
  <si>
    <t>085737534558 (suami)</t>
  </si>
  <si>
    <t>Desi Afriani Nasir</t>
  </si>
  <si>
    <t>Selayar</t>
  </si>
  <si>
    <t>Jl Kapasa</t>
  </si>
  <si>
    <t>7371145211960004</t>
  </si>
  <si>
    <t>082347917270</t>
  </si>
  <si>
    <t>Jl Kapasa Baru (Dayu)</t>
  </si>
  <si>
    <t>082345273115 (ibu)</t>
  </si>
  <si>
    <t>Wahyu Fajar Manzilah</t>
  </si>
  <si>
    <t>Dsn Pgundangan RT4 RW3 Glenmore Banyuwangi</t>
  </si>
  <si>
    <t>3510102205950001</t>
  </si>
  <si>
    <t>0000699881218</t>
  </si>
  <si>
    <t>082234517471</t>
  </si>
  <si>
    <t>manzilah70@gmail.com</t>
  </si>
  <si>
    <t>jl pulau bungin no 127, pemogan</t>
  </si>
  <si>
    <t>0220.1513</t>
  </si>
  <si>
    <t>Imelda</t>
  </si>
  <si>
    <t>Lawua</t>
  </si>
  <si>
    <t>Desa lawua,lawua,Sigi</t>
  </si>
  <si>
    <t>7210065503930002</t>
  </si>
  <si>
    <t>Bermasalah</t>
  </si>
  <si>
    <t>082217191788</t>
  </si>
  <si>
    <t>melda049315@gmail.com</t>
  </si>
  <si>
    <t>todpuli kompleks puri taman sari f7/14</t>
  </si>
  <si>
    <t>0220.1514</t>
  </si>
  <si>
    <t>Fauzan</t>
  </si>
  <si>
    <t>jl kemauan 7 no 2 f, maccini parang, makassar</t>
  </si>
  <si>
    <t>7371033105990011</t>
  </si>
  <si>
    <t>7371032603080117</t>
  </si>
  <si>
    <t>0001073363545</t>
  </si>
  <si>
    <t>Sudah</t>
  </si>
  <si>
    <t>08970523775</t>
  </si>
  <si>
    <t>fauzanmbpc81@gmail.com</t>
  </si>
  <si>
    <t>jl kemauan 7 no 2f</t>
  </si>
  <si>
    <t>0220.1515</t>
  </si>
  <si>
    <t>Muh Adjie Nugraha</t>
  </si>
  <si>
    <t>jl poros limbung, panciro</t>
  </si>
  <si>
    <t>7371021611000004</t>
  </si>
  <si>
    <t>085878164510</t>
  </si>
  <si>
    <t>muhadjie16@gmail.com</t>
  </si>
  <si>
    <t>jl poros limbung-panciro, kab gowa</t>
  </si>
  <si>
    <t>0220.1516</t>
  </si>
  <si>
    <t>Fitria Islamia</t>
  </si>
  <si>
    <t>Jl mr moch roem, gg khairussolah, sumur putri, telukbetung selatan</t>
  </si>
  <si>
    <t>1871096105970000</t>
  </si>
  <si>
    <t>fitriaislamia1997@gmail.com</t>
  </si>
  <si>
    <t>Jl. Pendawa Lrg Beringin No 472 Palembang</t>
  </si>
  <si>
    <t>0220.1517</t>
  </si>
  <si>
    <t>Joniarto Romando Busu</t>
  </si>
  <si>
    <t>Rote</t>
  </si>
  <si>
    <t>Kel Penkase Oeleta, Alak, Kupang, NTT</t>
  </si>
  <si>
    <t>5371011306890002</t>
  </si>
  <si>
    <t>087757307875</t>
  </si>
  <si>
    <t>Jl Tangkuban Perahu, Gang Merta Sedana No.10</t>
  </si>
  <si>
    <t>082144789976 (Sepupu)</t>
  </si>
  <si>
    <t>Jemmy Johanis Aryanto Sa'u</t>
  </si>
  <si>
    <t>Lutukok</t>
  </si>
  <si>
    <t>Batutua, rote barat daya, Rote ndao</t>
  </si>
  <si>
    <t>5314012501980001</t>
  </si>
  <si>
    <t>5314010312072008</t>
  </si>
  <si>
    <t>0001578197709</t>
  </si>
  <si>
    <t>jemyarianto0@gmail.com</t>
  </si>
  <si>
    <t>jalan pulau misol gg dewa no 4</t>
  </si>
  <si>
    <t>0320.1518</t>
  </si>
  <si>
    <t>Elvin Triputra Anggara</t>
  </si>
  <si>
    <t>Lr banten 6 no 208, Palembang</t>
  </si>
  <si>
    <t>1671032007000006</t>
  </si>
  <si>
    <t>0000322916073</t>
  </si>
  <si>
    <t>081367565175</t>
  </si>
  <si>
    <t>putraanggaraelvintri@gmail.com</t>
  </si>
  <si>
    <t>Jl. K haji Balqi Lrg Banten VI No 220 Palembang</t>
  </si>
  <si>
    <t>0320.1519</t>
  </si>
  <si>
    <t>Made Rinda Gayatri</t>
  </si>
  <si>
    <t>Samarinda</t>
  </si>
  <si>
    <t>Jl tukad banyusari gg 3 no 9, denpasar selatan</t>
  </si>
  <si>
    <t>6472057011970000</t>
  </si>
  <si>
    <t>081338776991</t>
  </si>
  <si>
    <t>rindagaytri97@gmail.com</t>
  </si>
  <si>
    <t>jl kamboja asrama polda bali, denpasar timur</t>
  </si>
  <si>
    <t>0320.1520</t>
  </si>
  <si>
    <t>Ni Kadek Andria Wahyuni</t>
  </si>
  <si>
    <t>jl sulatri gg XI no 3 DP, kesiman petilan, denapsar timur</t>
  </si>
  <si>
    <t>5171026912950000</t>
  </si>
  <si>
    <t>0002318669561</t>
  </si>
  <si>
    <t>15004380737</t>
  </si>
  <si>
    <t>085792826137</t>
  </si>
  <si>
    <t>andriawahyunikadek95@gmail.com</t>
  </si>
  <si>
    <t>jl sulatri gg xi no 3</t>
  </si>
  <si>
    <t>0320.1522</t>
  </si>
  <si>
    <t>Mochammad Qoimuddin</t>
  </si>
  <si>
    <t>Dusun Krajan karangan, bangalsari, jember</t>
  </si>
  <si>
    <t>3509091903960005</t>
  </si>
  <si>
    <t>3509092209058194</t>
  </si>
  <si>
    <t>0002635113058</t>
  </si>
  <si>
    <t>082232356058</t>
  </si>
  <si>
    <t>koimkoim7@gmail.com</t>
  </si>
  <si>
    <t>Jln pulau ayu selatan no.878</t>
  </si>
  <si>
    <t>0320.1521</t>
  </si>
  <si>
    <t>Ratu Wulan Rega Artana</t>
  </si>
  <si>
    <t>Serang</t>
  </si>
  <si>
    <t>JL nusa kambangan no 41,Denpasar barat</t>
  </si>
  <si>
    <t>5171014902980001</t>
  </si>
  <si>
    <t>5171012211060060</t>
  </si>
  <si>
    <t>0001323629739</t>
  </si>
  <si>
    <t>081998601309</t>
  </si>
  <si>
    <t>ratuartana09@gmail.com</t>
  </si>
  <si>
    <t>jl pulau yoni n0 4 denpasar selatan</t>
  </si>
  <si>
    <t>SMK Pernbankan`</t>
  </si>
  <si>
    <t>0895334231922 mama</t>
  </si>
  <si>
    <t>0320.1523</t>
  </si>
  <si>
    <t>Jhon William Subabura</t>
  </si>
  <si>
    <t>jl ks tubun gg X no 23, delod peken Tabanan</t>
  </si>
  <si>
    <t>5102051301820004</t>
  </si>
  <si>
    <t>0001577360171</t>
  </si>
  <si>
    <t>085333481111</t>
  </si>
  <si>
    <t>jhonwelly828@gmail.com</t>
  </si>
  <si>
    <t>JL Ks Tubun GG 10 no 23 Tabanan</t>
  </si>
  <si>
    <t>0320.1524</t>
  </si>
  <si>
    <t>BQ. Yuneri Aprilia</t>
  </si>
  <si>
    <t>Suwangi</t>
  </si>
  <si>
    <t>Suwangi selatan, suangi, sakra, lombok timur</t>
  </si>
  <si>
    <t>islam</t>
  </si>
  <si>
    <t>Cerai Hidup</t>
  </si>
  <si>
    <t>5203026604960001</t>
  </si>
  <si>
    <t>5203022201180000</t>
  </si>
  <si>
    <t>baiqyuneryaprilia280@gmail.com</t>
  </si>
  <si>
    <t>0320.1525</t>
  </si>
  <si>
    <t>Adi Wahyu Ardani</t>
  </si>
  <si>
    <t>Dsn Kabatmantren, wringinputih</t>
  </si>
  <si>
    <t>3510050909960011</t>
  </si>
  <si>
    <t>3510051906120010</t>
  </si>
  <si>
    <t>adiwahyu090996@gmail.com</t>
  </si>
  <si>
    <t>Jl patih nambi utara</t>
  </si>
  <si>
    <t>0320.1526</t>
  </si>
  <si>
    <t>Marjono</t>
  </si>
  <si>
    <t>Polo Pangale</t>
  </si>
  <si>
    <t>Jl Baji Rupa, Balang Baru, Tamalate</t>
  </si>
  <si>
    <t>7602111303980001</t>
  </si>
  <si>
    <t>18028716324</t>
  </si>
  <si>
    <t>085340846631</t>
  </si>
  <si>
    <t>marjono130398@gmail.com</t>
  </si>
  <si>
    <t>jl baji rupa, cendrawasih kel. Balang baru kec, tamalate, kota makassar</t>
  </si>
  <si>
    <t>08981589859 sepupu</t>
  </si>
  <si>
    <t>0320.1530</t>
  </si>
  <si>
    <t>Kiki Barokah</t>
  </si>
  <si>
    <t>dsn krajan, dsn karangharjo kec silo</t>
  </si>
  <si>
    <t>3509301304950003</t>
  </si>
  <si>
    <t>3509301002110990</t>
  </si>
  <si>
    <t>085812758731</t>
  </si>
  <si>
    <t>rizkykcys@gmail.com</t>
  </si>
  <si>
    <t>jl glogor carik gang nakula</t>
  </si>
  <si>
    <t>088219192432 (kakak)</t>
  </si>
  <si>
    <t>0320.1527</t>
  </si>
  <si>
    <t>Shopkeeper Pooling</t>
  </si>
  <si>
    <t>Nur Fitrah Hisaana</t>
  </si>
  <si>
    <t>sibolong polong,siwolong polong, Pinrang</t>
  </si>
  <si>
    <t>7315014406980000</t>
  </si>
  <si>
    <t>7315012707097683</t>
  </si>
  <si>
    <t>082333396913</t>
  </si>
  <si>
    <t>nurfitrahisaana@gmail.com</t>
  </si>
  <si>
    <t>jl inspeksi PAM lorong 5, kecamatan manggala makassar</t>
  </si>
  <si>
    <t>0420.1528</t>
  </si>
  <si>
    <t>Imaculata Eta</t>
  </si>
  <si>
    <t>Maumere</t>
  </si>
  <si>
    <t>Dusun Hobuai, Desa werang</t>
  </si>
  <si>
    <t>5307084903910002</t>
  </si>
  <si>
    <t>082365459046</t>
  </si>
  <si>
    <t>ichamofferz92@gmail.com</t>
  </si>
  <si>
    <t>Jalan Seruni g abcde no 4 dentim</t>
  </si>
  <si>
    <t>082236448894 saudara</t>
  </si>
  <si>
    <t>0420.1529</t>
  </si>
  <si>
    <t>Putri Ayu Sunarko</t>
  </si>
  <si>
    <t>Bogen no 30, Ploso, tambak sari, Surabaya</t>
  </si>
  <si>
    <t>3578104709960001</t>
  </si>
  <si>
    <t>0881037795786</t>
  </si>
  <si>
    <t>mputtayu79@gmail.com</t>
  </si>
  <si>
    <t>Jl tukad badung xx e no 2</t>
  </si>
  <si>
    <t>085704177754 saudara</t>
  </si>
  <si>
    <t>0420.1531</t>
  </si>
  <si>
    <t>Tonico Anggara Hermanto</t>
  </si>
  <si>
    <t>Sigerongan, Ungsar - Nusa Tenggara Barat</t>
  </si>
  <si>
    <t>5201120604850002</t>
  </si>
  <si>
    <t>081237755557</t>
  </si>
  <si>
    <t>anggatonico@yahoo.com</t>
  </si>
  <si>
    <t>Perum Nuansa Sandat Blok 2 no 24 biaung</t>
  </si>
  <si>
    <t>08118541144 (istri)</t>
  </si>
  <si>
    <t>0520.1532</t>
  </si>
  <si>
    <t>Kadek Dwi Lioni Agnes</t>
  </si>
  <si>
    <t>Br Dinas Kangin Teben, Jagaraga, Sawan</t>
  </si>
  <si>
    <t>5108075408970000</t>
  </si>
  <si>
    <t>0881038079238</t>
  </si>
  <si>
    <t xml:space="preserve">lioniagnes16@gmail.com </t>
  </si>
  <si>
    <t>gang berlian ujung no 8 km no 4</t>
  </si>
  <si>
    <t>089634819900 (kakak)</t>
  </si>
  <si>
    <t>0520.1533</t>
  </si>
  <si>
    <t xml:space="preserve">CW04 </t>
  </si>
  <si>
    <t>I Komang Dodi Santika</t>
  </si>
  <si>
    <t>Sukawati</t>
  </si>
  <si>
    <t>BR Gelulung, Sukawati,Gianyar</t>
  </si>
  <si>
    <t>5104010301930005</t>
  </si>
  <si>
    <t>081237238063</t>
  </si>
  <si>
    <t xml:space="preserve">mankdody03@gmail.com </t>
  </si>
  <si>
    <t>082146943646 saudara</t>
  </si>
  <si>
    <t>0520.1534</t>
  </si>
  <si>
    <t>Bagus Ajie Kusuma</t>
  </si>
  <si>
    <t>Gontar</t>
  </si>
  <si>
    <t>Jl. Peternakan Selagalas</t>
  </si>
  <si>
    <t>5204171303950000</t>
  </si>
  <si>
    <t>087835412763</t>
  </si>
  <si>
    <t>bagusajiekusuma@gmail.com</t>
  </si>
  <si>
    <t>Jl. Pulau Indah Gang 4 no.3</t>
  </si>
  <si>
    <t>087 780 031 357 (temen)</t>
  </si>
  <si>
    <t>0620.1535</t>
  </si>
  <si>
    <t>Anak Agung Gede Bagus Ernantha</t>
  </si>
  <si>
    <t>Link Puri Agung Bangli</t>
  </si>
  <si>
    <t>5106020112850004</t>
  </si>
  <si>
    <t>5106020504100015</t>
  </si>
  <si>
    <t>081918323151</t>
  </si>
  <si>
    <t>jungde.jd@gmail.com</t>
  </si>
  <si>
    <t>Link Br. Puri Agung Bangli</t>
  </si>
  <si>
    <t>D1</t>
  </si>
  <si>
    <t>082 147 879 619 (Istri)</t>
  </si>
  <si>
    <t>0620.1536</t>
  </si>
  <si>
    <t>Ade Ardiansyah</t>
  </si>
  <si>
    <t>Jl Gn Sangga Buana Selatan no 1</t>
  </si>
  <si>
    <t>3510093107980003</t>
  </si>
  <si>
    <t>081237676437</t>
  </si>
  <si>
    <t>risa.arfiana6@gmail.com</t>
  </si>
  <si>
    <t>082194277842 (orangtua)</t>
  </si>
  <si>
    <t>0620.1537</t>
  </si>
  <si>
    <t>Ni Kadek Ayu Sudarmini</t>
  </si>
  <si>
    <t>Jl Imam Bonjol gg Jero no 11, Dps, Pemecutan Kelod</t>
  </si>
  <si>
    <t>5171014507020002</t>
  </si>
  <si>
    <t>089801565542</t>
  </si>
  <si>
    <t>ayusudarmini05@gmail.com</t>
  </si>
  <si>
    <t>Jl Teuku Umar barat gg Kertapura IV</t>
  </si>
  <si>
    <t>089801565542 (ayah)</t>
  </si>
  <si>
    <t>0620.1538</t>
  </si>
  <si>
    <t>Aldo Rakasiwi</t>
  </si>
  <si>
    <t>Surakarta</t>
  </si>
  <si>
    <t>Dusun Kebonan, Desa Pasirian, Lumajang</t>
  </si>
  <si>
    <t>3508043008970000</t>
  </si>
  <si>
    <t>91.829.193.1-625.000</t>
  </si>
  <si>
    <t>081246152130</t>
  </si>
  <si>
    <t>aldorakaaldo@gmail.com</t>
  </si>
  <si>
    <t>Jln Imam Bonjol gg 100 no 100 w Denpasar</t>
  </si>
  <si>
    <t>0895324673900 (ayah)</t>
  </si>
  <si>
    <t>0620.1539</t>
  </si>
  <si>
    <t>I Made Suteja Kawinanga</t>
  </si>
  <si>
    <t>Jl Gelogor Carik gg tunjung sari no 3</t>
  </si>
  <si>
    <t>5171012910980003</t>
  </si>
  <si>
    <t>089672101940</t>
  </si>
  <si>
    <t>sutejakawinanga29@gmail.com</t>
  </si>
  <si>
    <t>087861820729 (ibu)</t>
  </si>
  <si>
    <t>0620.1540</t>
  </si>
  <si>
    <t>Ni Kadek Ratna Sejiwani</t>
  </si>
  <si>
    <t>Sudimara Kelod, Sudimara, Tabanan</t>
  </si>
  <si>
    <t>5102056807020001</t>
  </si>
  <si>
    <t>081991705967</t>
  </si>
  <si>
    <t>ratnasejiwani@gmail.com</t>
  </si>
  <si>
    <t>087861830873 (ibu)</t>
  </si>
  <si>
    <t>0620.1541</t>
  </si>
  <si>
    <t>Ni Made Sinta Widiasih</t>
  </si>
  <si>
    <t>Pengembungan</t>
  </si>
  <si>
    <t>Br Pengembungan, Tegal Jadi, Marga, Tabanan</t>
  </si>
  <si>
    <t>5102075909970000</t>
  </si>
  <si>
    <t>081938523623</t>
  </si>
  <si>
    <t>sintawidiasih715@gmail.com</t>
  </si>
  <si>
    <t>081353011744 (ibu)</t>
  </si>
  <si>
    <t>0620.1542</t>
  </si>
  <si>
    <t>Mita Wulandari</t>
  </si>
  <si>
    <t>Dusun Sidomulyo, Sepanjang, Glenmore Banyuwangi</t>
  </si>
  <si>
    <t>3510104205020003</t>
  </si>
  <si>
    <t>085964388379</t>
  </si>
  <si>
    <t>mitawulandari0022@gmail.com</t>
  </si>
  <si>
    <t>Jl Gunung Catur VI. Padang Sambian Kaja</t>
  </si>
  <si>
    <t>085964388379 (ibu)</t>
  </si>
  <si>
    <t>0620.1543</t>
  </si>
  <si>
    <t>Ratih Septiandani</t>
  </si>
  <si>
    <t>Jl Raya Puputan no 62, DPS Br Link. Mandala, Dangin Puri Kelod</t>
  </si>
  <si>
    <t>5171034109950007</t>
  </si>
  <si>
    <t>5171022610170013</t>
  </si>
  <si>
    <t>089665495563</t>
  </si>
  <si>
    <t>ratihdavva@gmail.com</t>
  </si>
  <si>
    <t>Jl Raya Puputan Renon no 62</t>
  </si>
  <si>
    <t>089676690877 (suami)</t>
  </si>
  <si>
    <t>0620.1544</t>
  </si>
  <si>
    <t>Luh Eli Setiawati</t>
  </si>
  <si>
    <t>Banyuning</t>
  </si>
  <si>
    <t>Jl Setia Budi Lingkungan Banyuning Timur</t>
  </si>
  <si>
    <t>5108066503970008</t>
  </si>
  <si>
    <t>5108062210090005</t>
  </si>
  <si>
    <t>083116134118</t>
  </si>
  <si>
    <t>eliid444@gmail.com</t>
  </si>
  <si>
    <t>Jl Serma Merta No 04 PUPUTAN</t>
  </si>
  <si>
    <t>087864337357 (kakak)</t>
  </si>
  <si>
    <t>0620.1545</t>
  </si>
  <si>
    <t>Putu Indra Jaya</t>
  </si>
  <si>
    <t>Jl letda reta utara no 18 dps, dangin puri kelod, Denpasar Timur</t>
  </si>
  <si>
    <t>5171022304980000</t>
  </si>
  <si>
    <t>5171022107090010</t>
  </si>
  <si>
    <t>TK/1</t>
  </si>
  <si>
    <t>085792106533</t>
  </si>
  <si>
    <t>putuindrajaya905@gmail.com</t>
  </si>
  <si>
    <t>081529577884 teman</t>
  </si>
  <si>
    <t>0620.1546</t>
  </si>
  <si>
    <t>Rizal Bahagia</t>
  </si>
  <si>
    <t>Dusun Tegal Rejo, sabrang ambulu</t>
  </si>
  <si>
    <t>3509121309960005</t>
  </si>
  <si>
    <t>3509120301110133</t>
  </si>
  <si>
    <t>081231192842</t>
  </si>
  <si>
    <t>Rizalbahagia13@gmail.com</t>
  </si>
  <si>
    <t>Jl Pura Demak 7 A</t>
  </si>
  <si>
    <t>082245887418 sodara</t>
  </si>
  <si>
    <t>0620.1547</t>
  </si>
  <si>
    <t>I Putu Oka Suyasa</t>
  </si>
  <si>
    <t>Kintamani</t>
  </si>
  <si>
    <t>Jl lingga gg1, banyuasri buleleng</t>
  </si>
  <si>
    <t>5108061012950007</t>
  </si>
  <si>
    <t>5108062502100058</t>
  </si>
  <si>
    <t>085792706513</t>
  </si>
  <si>
    <t>iputuokasuyasa@gmail.com</t>
  </si>
  <si>
    <t>Jl patih Nambi VI b Ubung Denpasar</t>
  </si>
  <si>
    <t>087862226426 (adek)</t>
  </si>
  <si>
    <t>0720.1549</t>
  </si>
  <si>
    <t>Avieta Karina Maharani</t>
  </si>
  <si>
    <t>Br dn Kembang Sari Ds Panji Kec Sukasada Bueleng</t>
  </si>
  <si>
    <t>3510025103950001</t>
  </si>
  <si>
    <t>5108051606160001</t>
  </si>
  <si>
    <t>085333000885</t>
  </si>
  <si>
    <t>avietamaharani11@gmail.com</t>
  </si>
  <si>
    <t>Jl Gunung Soputan 3 Denpasar</t>
  </si>
  <si>
    <t>085799999579 (ibu)</t>
  </si>
  <si>
    <t>0720.1550</t>
  </si>
  <si>
    <t>Kadek Dharma Putra</t>
  </si>
  <si>
    <t>5102051312990001</t>
  </si>
  <si>
    <t>082236783647</t>
  </si>
  <si>
    <t>pdharma981@gmail.com</t>
  </si>
  <si>
    <t>Br Denbantas</t>
  </si>
  <si>
    <t>0819991131079 (kakak)</t>
  </si>
  <si>
    <t>0720.1551</t>
  </si>
  <si>
    <t>I Wayan Eka Bayu Wardana</t>
  </si>
  <si>
    <t>Jl Kutilang no 4, Kauhan Cakranegara Barat</t>
  </si>
  <si>
    <t>5271030603960001</t>
  </si>
  <si>
    <t>5271010603081672</t>
  </si>
  <si>
    <t>087861547455</t>
  </si>
  <si>
    <t>ebayu26@gmail.com</t>
  </si>
  <si>
    <t>Jl Tukad Batanghari no 18 panjer</t>
  </si>
  <si>
    <t>085727200700 (sepupu)</t>
  </si>
  <si>
    <t>0720.1552</t>
  </si>
  <si>
    <t>Mohammad Hasanuddin</t>
  </si>
  <si>
    <t>JL Buana Kubu Perum Lestari Living</t>
  </si>
  <si>
    <t>5171032606960004</t>
  </si>
  <si>
    <t>085738472846</t>
  </si>
  <si>
    <t>Mohammadhasanuddin10@gmail.com</t>
  </si>
  <si>
    <t>Jl gunung karang gg kubu padi no 10</t>
  </si>
  <si>
    <t>081547606788 (kakak)</t>
  </si>
  <si>
    <t>0720.1553</t>
  </si>
  <si>
    <t>Made Dewi Savitri</t>
  </si>
  <si>
    <t>JL. Dalung permai blok B3-210 Ling.Bumi Kertha</t>
  </si>
  <si>
    <t>5103066107850004</t>
  </si>
  <si>
    <t>5103061909070021</t>
  </si>
  <si>
    <t>58.937.082.4-906.000</t>
  </si>
  <si>
    <t>081936110469</t>
  </si>
  <si>
    <t>dewie_savitri@yahoo.com</t>
  </si>
  <si>
    <t>Jl Buluh Indah Gg III kav 9 denpasar utara</t>
  </si>
  <si>
    <t>081999129299 (kakak)</t>
  </si>
  <si>
    <t>0820.1554</t>
  </si>
  <si>
    <t>Juni Intania Permata Amsuri</t>
  </si>
  <si>
    <t>Makassar</t>
  </si>
  <si>
    <t>Jl. Inspeksi Pam LR.5</t>
  </si>
  <si>
    <t>7371125106960004</t>
  </si>
  <si>
    <t>7371120512990456</t>
  </si>
  <si>
    <t>082313565553</t>
  </si>
  <si>
    <t>intaniajuni@gmail.com</t>
  </si>
  <si>
    <t>Jl. Inspeksi pam lr.5</t>
  </si>
  <si>
    <t>085255635835</t>
  </si>
  <si>
    <t>0820.1555</t>
  </si>
  <si>
    <t>I Kadek Sutarjana</t>
  </si>
  <si>
    <t>Jl.Imam Bonjol Gg. Kertapura VI No. 26</t>
  </si>
  <si>
    <t>5171031711930003</t>
  </si>
  <si>
    <t>087752376893</t>
  </si>
  <si>
    <t>kadeksutarjana93@gmail.com</t>
  </si>
  <si>
    <t>Jl. Imam Bonjol Gg. Kertapura VI No.26</t>
  </si>
  <si>
    <t>087853553330 (Istri)</t>
  </si>
  <si>
    <t>0820.1556</t>
  </si>
  <si>
    <t>Irvan Saputra</t>
  </si>
  <si>
    <t>Muara Dua- Oku Selatan</t>
  </si>
  <si>
    <t>Jl A Yani Banten VI no 243, ULU, Seberang ULU II</t>
  </si>
  <si>
    <t>1671032301010003</t>
  </si>
  <si>
    <t>1671031402080008</t>
  </si>
  <si>
    <t>082283379446</t>
  </si>
  <si>
    <t>irvan.saputra6747@gmail.com</t>
  </si>
  <si>
    <t>Jl A Yani Lr Banten 6 RT 062 RW 017 no 345</t>
  </si>
  <si>
    <t>081272985012 (saudara)</t>
  </si>
  <si>
    <t>0820.1557</t>
  </si>
  <si>
    <t>CM02</t>
  </si>
  <si>
    <t>Alif Afriansyah</t>
  </si>
  <si>
    <t>Jl Setunggal Sukorejo no 27, Ilir Timur Tiga</t>
  </si>
  <si>
    <t>1671062004000015</t>
  </si>
  <si>
    <t>085382216271</t>
  </si>
  <si>
    <t>Afriansyahalif92@gmail.com</t>
  </si>
  <si>
    <t>085267896018 (Ibu)</t>
  </si>
  <si>
    <t>0820.1558</t>
  </si>
  <si>
    <t>M.Apriyandi Tri Saputra</t>
  </si>
  <si>
    <t>LR Banten 6 No 208 A</t>
  </si>
  <si>
    <t>1671031604020013</t>
  </si>
  <si>
    <t>085923691605</t>
  </si>
  <si>
    <t>renapalembang2019@gmail.com</t>
  </si>
  <si>
    <t>Perumahan GSS</t>
  </si>
  <si>
    <t>081368112244 (saudara)</t>
  </si>
  <si>
    <t>0820.1559</t>
  </si>
  <si>
    <t>Eka Nanda Putri Cahyani</t>
  </si>
  <si>
    <t>Jl Yos Sudarso LR, Tirto Mulyo no 77, ILIR TIMUR II</t>
  </si>
  <si>
    <t>1671064903010008</t>
  </si>
  <si>
    <t>1671061301110017</t>
  </si>
  <si>
    <t>088276206872</t>
  </si>
  <si>
    <t>ekan5732@gmail.com</t>
  </si>
  <si>
    <t>082374129092 (saudara)</t>
  </si>
  <si>
    <t>0820.1560</t>
  </si>
  <si>
    <t>Dedy Iskandar</t>
  </si>
  <si>
    <t>Baturaja</t>
  </si>
  <si>
    <t>JL KH Wahid Hasyim LR Rawa Jaya No 603</t>
  </si>
  <si>
    <t>1671131612980003</t>
  </si>
  <si>
    <t>089602260004</t>
  </si>
  <si>
    <t>16dedyiskandar@gmail.com</t>
  </si>
  <si>
    <t>082185768631 saudara</t>
  </si>
  <si>
    <t>0820.1561</t>
  </si>
  <si>
    <t>Retno Pratiwi</t>
  </si>
  <si>
    <t>Muara Enim</t>
  </si>
  <si>
    <t>DS Harapan Jaya, Muara Enim</t>
  </si>
  <si>
    <t>1603025101010002</t>
  </si>
  <si>
    <t>1603020705054417</t>
  </si>
  <si>
    <t>083176137614</t>
  </si>
  <si>
    <t>rtnoprtiwi@gmail.com</t>
  </si>
  <si>
    <t>Jln MALAKA</t>
  </si>
  <si>
    <t>082373206661 saudara</t>
  </si>
  <si>
    <t>0820.1562</t>
  </si>
  <si>
    <t>Ahmad Lutfi Fauzi</t>
  </si>
  <si>
    <t>Dsn Jatirenggo, Talok Turen</t>
  </si>
  <si>
    <t>3507092607960000</t>
  </si>
  <si>
    <t>3507092010120003</t>
  </si>
  <si>
    <t>081917671866</t>
  </si>
  <si>
    <t>lutfifauzi573@gmail.com</t>
  </si>
  <si>
    <t>Jlm Buana Raya gg buana mekar 2</t>
  </si>
  <si>
    <t>STM</t>
  </si>
  <si>
    <t>082266085766 (temen)</t>
  </si>
  <si>
    <t>0820.1563</t>
  </si>
  <si>
    <t>TS</t>
  </si>
  <si>
    <t>Reza Dwi Pramana</t>
  </si>
  <si>
    <t>Jl Letda Kajeng no 19</t>
  </si>
  <si>
    <t>5171021201980003</t>
  </si>
  <si>
    <t>0895325725388</t>
  </si>
  <si>
    <t>rezapramana1998@gmail.com</t>
  </si>
  <si>
    <t>0895322588469 (kakak)</t>
  </si>
  <si>
    <t>0820.1564</t>
  </si>
  <si>
    <t>Ratna Dwi Natalia</t>
  </si>
  <si>
    <t>Lamongan</t>
  </si>
  <si>
    <t>JL AR.HAKIM Gang Mayang no 4 Punia Jamak, Mataram</t>
  </si>
  <si>
    <t>5271025201990002</t>
  </si>
  <si>
    <t>5271020503083174</t>
  </si>
  <si>
    <t>081805393412</t>
  </si>
  <si>
    <t>nataliaratnadwi12@gmail.com</t>
  </si>
  <si>
    <t>Punia Jamak Mataram</t>
  </si>
  <si>
    <t>081907686728 (Saudara)</t>
  </si>
  <si>
    <t>0820.1565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</si>
</sst>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[$-409]dd/mmm/yy;@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charset val="1"/>
      <scheme val="minor"/>
    </font>
    <font>
      <u/>
      <sz val="11"/>
      <color theme="10"/>
      <name val="Times New Roman"/>
      <family val="1"/>
    </font>
    <font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165" fontId="4" fillId="6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/>
    <xf numFmtId="49" fontId="3" fillId="0" borderId="5" xfId="0" quotePrefix="1" applyNumberFormat="1" applyFont="1" applyBorder="1" applyAlignment="1">
      <alignment horizontal="center" vertical="center"/>
    </xf>
    <xf numFmtId="0" fontId="3" fillId="0" borderId="5" xfId="0" applyFont="1" applyBorder="1" applyAlignment="1"/>
    <xf numFmtId="164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/>
    <xf numFmtId="0" fontId="8" fillId="0" borderId="5" xfId="1" quotePrefix="1" applyFont="1" applyBorder="1" applyAlignment="1">
      <alignment horizontal="center" vertical="center"/>
    </xf>
    <xf numFmtId="15" fontId="3" fillId="0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15" fontId="3" fillId="8" borderId="5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2" fillId="8" borderId="5" xfId="0" applyFont="1" applyFill="1" applyBorder="1" applyAlignment="1"/>
    <xf numFmtId="164" fontId="3" fillId="8" borderId="5" xfId="0" applyNumberFormat="1" applyFont="1" applyFill="1" applyBorder="1" applyAlignment="1">
      <alignment horizontal="center" vertical="center"/>
    </xf>
    <xf numFmtId="49" fontId="3" fillId="9" borderId="5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3" fontId="3" fillId="0" borderId="5" xfId="0" quotePrefix="1" applyNumberFormat="1" applyFont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Border="1" applyAlignment="1">
      <alignment horizontal="center" vertical="center"/>
    </xf>
    <xf numFmtId="49" fontId="3" fillId="8" borderId="5" xfId="0" quotePrefix="1" applyNumberFormat="1" applyFont="1" applyFill="1" applyBorder="1" applyAlignment="1">
      <alignment horizontal="center" vertical="center"/>
    </xf>
    <xf numFmtId="0" fontId="3" fillId="8" borderId="5" xfId="0" quotePrefix="1" applyFont="1" applyFill="1" applyBorder="1" applyAlignment="1">
      <alignment horizontal="center" vertical="center"/>
    </xf>
    <xf numFmtId="49" fontId="6" fillId="8" borderId="5" xfId="0" quotePrefix="1" applyNumberFormat="1" applyFont="1" applyFill="1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15" fontId="6" fillId="8" borderId="5" xfId="0" applyNumberFormat="1" applyFont="1" applyFill="1" applyBorder="1" applyAlignment="1">
      <alignment horizontal="center" vertical="center"/>
    </xf>
    <xf numFmtId="49" fontId="3" fillId="9" borderId="5" xfId="0" quotePrefix="1" applyNumberFormat="1" applyFont="1" applyFill="1" applyBorder="1" applyAlignment="1">
      <alignment horizontal="center" vertical="center"/>
    </xf>
    <xf numFmtId="0" fontId="2" fillId="0" borderId="0" xfId="0" applyFont="1" applyBorder="1" applyAlignment="1"/>
    <xf numFmtId="15" fontId="3" fillId="8" borderId="5" xfId="0" applyNumberFormat="1" applyFont="1" applyFill="1" applyBorder="1" applyAlignment="1">
      <alignment vertical="center"/>
    </xf>
    <xf numFmtId="0" fontId="2" fillId="8" borderId="0" xfId="0" applyFont="1" applyFill="1" applyBorder="1" applyAlignment="1"/>
    <xf numFmtId="0" fontId="2" fillId="0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49" fontId="3" fillId="8" borderId="0" xfId="0" applyNumberFormat="1" applyFont="1" applyFill="1" applyAlignment="1">
      <alignment vertical="center"/>
    </xf>
    <xf numFmtId="15" fontId="3" fillId="8" borderId="0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15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15" fontId="6" fillId="0" borderId="5" xfId="0" applyNumberFormat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5" xfId="0" quotePrefix="1" applyFont="1" applyFill="1" applyBorder="1" applyAlignment="1">
      <alignment horizontal="center" vertical="center"/>
    </xf>
    <xf numFmtId="49" fontId="3" fillId="0" borderId="5" xfId="0" quotePrefix="1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/>
    <xf numFmtId="49" fontId="3" fillId="0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6" fillId="8" borderId="5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/>
    <xf numFmtId="15" fontId="6" fillId="0" borderId="0" xfId="0" applyNumberFormat="1" applyFont="1" applyFill="1" applyBorder="1" applyAlignment="1">
      <alignment horizontal="left" vertical="center"/>
    </xf>
    <xf numFmtId="15" fontId="9" fillId="0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0" xfId="0" quotePrefix="1" applyFont="1" applyBorder="1" applyAlignment="1">
      <alignment horizontal="center"/>
    </xf>
    <xf numFmtId="0" fontId="3" fillId="0" borderId="5" xfId="0" quotePrefix="1" applyNumberFormat="1" applyFont="1" applyBorder="1" applyAlignment="1">
      <alignment horizontal="center" vertical="center"/>
    </xf>
    <xf numFmtId="15" fontId="9" fillId="0" borderId="5" xfId="0" applyNumberFormat="1" applyFont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15" fontId="9" fillId="8" borderId="5" xfId="0" applyNumberFormat="1" applyFont="1" applyFill="1" applyBorder="1" applyAlignment="1">
      <alignment horizontal="center" vertical="center"/>
    </xf>
    <xf numFmtId="49" fontId="9" fillId="8" borderId="5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5" xfId="0" quotePrefix="1" applyFont="1" applyBorder="1" applyAlignment="1"/>
    <xf numFmtId="0" fontId="3" fillId="0" borderId="5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left" vertical="center"/>
    </xf>
    <xf numFmtId="15" fontId="6" fillId="0" borderId="5" xfId="0" quotePrefix="1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2" fillId="0" borderId="6" xfId="0" applyFont="1" applyBorder="1" applyAlignment="1"/>
    <xf numFmtId="15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quotePrefix="1" applyFont="1" applyBorder="1" applyAlignment="1">
      <alignment horizontal="left"/>
    </xf>
    <xf numFmtId="0" fontId="2" fillId="8" borderId="5" xfId="0" applyFont="1" applyFill="1" applyBorder="1" applyAlignment="1">
      <alignment horizontal="left"/>
    </xf>
    <xf numFmtId="0" fontId="3" fillId="0" borderId="5" xfId="0" quotePrefix="1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2" fillId="0" borderId="0" xfId="0" quotePrefix="1" applyFont="1"/>
    <xf numFmtId="0" fontId="2" fillId="0" borderId="5" xfId="0" applyFont="1" applyBorder="1"/>
    <xf numFmtId="0" fontId="2" fillId="0" borderId="5" xfId="0" quotePrefix="1" applyFont="1" applyBorder="1"/>
    <xf numFmtId="0" fontId="2" fillId="0" borderId="0" xfId="0" applyFont="1"/>
    <xf numFmtId="165" fontId="3" fillId="0" borderId="5" xfId="0" applyNumberFormat="1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1"/>
  <sheetViews>
    <sheetView tabSelected="1" workbookViewId="0">
      <selection activeCell="I13" sqref="I13"/>
    </sheetView>
  </sheetViews>
  <sheetFormatPr defaultRowHeight="15" x14ac:dyDescent="0.25"/>
  <sheetData>
    <row r="1" spans="1:35" ht="20.25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 t="s">
        <v>1</v>
      </c>
      <c r="O1" s="2"/>
      <c r="P1" s="2"/>
      <c r="Q1" s="2"/>
      <c r="R1" s="3"/>
      <c r="S1" s="4"/>
      <c r="T1" s="2"/>
      <c r="U1" s="2"/>
      <c r="V1" s="2"/>
      <c r="W1" s="5"/>
      <c r="X1" s="2"/>
      <c r="Y1" s="2"/>
      <c r="Z1" s="2"/>
      <c r="AA1" s="2"/>
      <c r="AB1" s="2"/>
      <c r="AC1" s="6"/>
      <c r="AD1" s="7"/>
      <c r="AE1" s="7"/>
      <c r="AF1" s="7"/>
      <c r="AG1" s="7"/>
      <c r="AH1" s="7"/>
      <c r="AI1" s="7"/>
    </row>
    <row r="2" spans="1:35" ht="20.25" x14ac:dyDescent="0.25">
      <c r="A2" s="1" t="s">
        <v>2</v>
      </c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4"/>
      <c r="T2" s="2"/>
      <c r="U2" s="2"/>
      <c r="V2" s="2"/>
      <c r="W2" s="5"/>
      <c r="X2" s="2"/>
      <c r="Y2" s="2"/>
      <c r="Z2" s="2"/>
      <c r="AA2" s="2"/>
      <c r="AB2" s="2"/>
      <c r="AC2" s="6"/>
      <c r="AD2" s="7"/>
      <c r="AE2" s="7"/>
      <c r="AF2" s="7"/>
      <c r="AG2" s="7"/>
      <c r="AH2" s="7"/>
      <c r="AI2" s="7"/>
    </row>
    <row r="3" spans="1:35" ht="20.25" x14ac:dyDescent="0.25">
      <c r="A3" s="1" t="s">
        <v>3</v>
      </c>
      <c r="B3" s="1"/>
      <c r="C3" s="1"/>
      <c r="D3" s="1"/>
      <c r="E3" s="1"/>
      <c r="F3" s="1"/>
      <c r="G3" s="2" t="s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  <c r="T3" s="2"/>
      <c r="U3" s="2"/>
      <c r="V3" s="2"/>
      <c r="W3" s="5"/>
      <c r="X3" s="2"/>
      <c r="Y3" s="2"/>
      <c r="Z3" s="2"/>
      <c r="AA3" s="2"/>
      <c r="AB3" s="2"/>
      <c r="AC3" s="6"/>
      <c r="AD3" s="7"/>
      <c r="AE3" s="7"/>
      <c r="AF3" s="7"/>
      <c r="AG3" s="7"/>
      <c r="AH3" s="7"/>
      <c r="AI3" s="7"/>
    </row>
    <row r="4" spans="1:35" x14ac:dyDescent="0.25">
      <c r="A4" s="2"/>
      <c r="B4" s="7"/>
      <c r="C4" s="2"/>
      <c r="D4" s="7"/>
      <c r="E4" s="2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  <c r="T4" s="2"/>
      <c r="U4" s="2"/>
      <c r="V4" s="2"/>
      <c r="W4" s="5"/>
      <c r="X4" s="2"/>
      <c r="Y4" s="2"/>
      <c r="Z4" s="2"/>
      <c r="AA4" s="2"/>
      <c r="AB4" s="2"/>
      <c r="AC4" s="6"/>
      <c r="AD4" s="7"/>
      <c r="AE4" s="7"/>
      <c r="AF4" s="7"/>
      <c r="AG4" s="7"/>
      <c r="AH4" s="7"/>
      <c r="AI4" s="7"/>
    </row>
    <row r="5" spans="1:35" x14ac:dyDescent="0.25">
      <c r="A5" s="8" t="s">
        <v>4</v>
      </c>
      <c r="B5" s="9" t="s">
        <v>5</v>
      </c>
      <c r="C5" s="10"/>
      <c r="D5" s="11"/>
      <c r="E5" s="10"/>
      <c r="F5" s="11"/>
      <c r="G5" s="10"/>
      <c r="H5" s="10"/>
      <c r="I5" s="10"/>
      <c r="J5" s="10"/>
      <c r="K5" s="12"/>
      <c r="L5" s="13" t="s">
        <v>6</v>
      </c>
      <c r="M5" s="13"/>
      <c r="N5" s="14" t="s">
        <v>7</v>
      </c>
      <c r="O5" s="15"/>
      <c r="P5" s="16"/>
      <c r="Q5" s="17" t="s">
        <v>8</v>
      </c>
      <c r="R5" s="18"/>
      <c r="S5" s="18"/>
      <c r="T5" s="18"/>
      <c r="U5" s="19"/>
      <c r="V5" s="20" t="s">
        <v>9</v>
      </c>
      <c r="W5" s="21"/>
      <c r="X5" s="20"/>
      <c r="Y5" s="20"/>
      <c r="Z5" s="20"/>
      <c r="AA5" s="20"/>
      <c r="AB5" s="20"/>
      <c r="AC5" s="22"/>
      <c r="AD5" s="23"/>
      <c r="AE5" s="23"/>
      <c r="AF5" s="23"/>
      <c r="AG5" s="23"/>
      <c r="AH5" s="23"/>
      <c r="AI5" s="23"/>
    </row>
    <row r="6" spans="1:35" ht="57" x14ac:dyDescent="0.25">
      <c r="A6" s="24"/>
      <c r="B6" s="25" t="s">
        <v>10</v>
      </c>
      <c r="C6" s="25" t="s">
        <v>11</v>
      </c>
      <c r="D6" s="25" t="s">
        <v>12</v>
      </c>
      <c r="E6" s="26" t="s">
        <v>13</v>
      </c>
      <c r="F6" s="26" t="s">
        <v>14</v>
      </c>
      <c r="G6" s="25" t="s">
        <v>15</v>
      </c>
      <c r="H6" s="25" t="s">
        <v>16</v>
      </c>
      <c r="I6" s="26" t="s">
        <v>17</v>
      </c>
      <c r="J6" s="25" t="s">
        <v>18</v>
      </c>
      <c r="K6" s="25" t="s">
        <v>19</v>
      </c>
      <c r="L6" s="27" t="s">
        <v>20</v>
      </c>
      <c r="M6" s="28" t="s">
        <v>21</v>
      </c>
      <c r="N6" s="29" t="s">
        <v>22</v>
      </c>
      <c r="O6" s="29" t="s">
        <v>23</v>
      </c>
      <c r="P6" s="29" t="s">
        <v>24</v>
      </c>
      <c r="Q6" s="30" t="s">
        <v>25</v>
      </c>
      <c r="R6" s="30" t="s">
        <v>26</v>
      </c>
      <c r="S6" s="30" t="s">
        <v>27</v>
      </c>
      <c r="T6" s="31" t="s">
        <v>28</v>
      </c>
      <c r="U6" s="31" t="s">
        <v>29</v>
      </c>
      <c r="V6" s="32" t="s">
        <v>30</v>
      </c>
      <c r="W6" s="33" t="s">
        <v>31</v>
      </c>
      <c r="X6" s="32" t="s">
        <v>32</v>
      </c>
      <c r="Y6" s="32" t="s">
        <v>33</v>
      </c>
      <c r="Z6" s="32" t="s">
        <v>34</v>
      </c>
      <c r="AA6" s="32" t="s">
        <v>35</v>
      </c>
      <c r="AB6" s="32" t="s">
        <v>36</v>
      </c>
      <c r="AC6" s="34" t="s">
        <v>37</v>
      </c>
      <c r="AD6" s="23"/>
      <c r="AE6" s="23"/>
      <c r="AF6" s="23"/>
      <c r="AG6" s="23"/>
      <c r="AH6" s="23"/>
      <c r="AI6" s="23"/>
    </row>
    <row r="7" spans="1:35" x14ac:dyDescent="0.25">
      <c r="A7" s="35">
        <v>0</v>
      </c>
      <c r="B7" s="35">
        <v>1</v>
      </c>
      <c r="C7" s="35">
        <v>2</v>
      </c>
      <c r="D7" s="35">
        <v>3</v>
      </c>
      <c r="E7" s="35">
        <v>4</v>
      </c>
      <c r="F7" s="35">
        <v>5</v>
      </c>
      <c r="G7" s="35">
        <v>6</v>
      </c>
      <c r="H7" s="35">
        <v>7</v>
      </c>
      <c r="I7" s="35">
        <v>8</v>
      </c>
      <c r="J7" s="35">
        <v>9</v>
      </c>
      <c r="K7" s="35">
        <v>10</v>
      </c>
      <c r="L7" s="35">
        <v>11</v>
      </c>
      <c r="M7" s="35">
        <v>12</v>
      </c>
      <c r="N7" s="35">
        <v>13</v>
      </c>
      <c r="O7" s="35"/>
      <c r="P7" s="35">
        <v>14</v>
      </c>
      <c r="Q7" s="35">
        <v>15</v>
      </c>
      <c r="R7" s="35">
        <v>16</v>
      </c>
      <c r="S7" s="35">
        <v>17</v>
      </c>
      <c r="T7" s="35">
        <v>18</v>
      </c>
      <c r="U7" s="35">
        <v>19</v>
      </c>
      <c r="V7" s="35">
        <v>20</v>
      </c>
      <c r="W7" s="35">
        <v>21</v>
      </c>
      <c r="X7" s="35">
        <v>22</v>
      </c>
      <c r="Y7" s="35">
        <v>23</v>
      </c>
      <c r="Z7" s="35">
        <v>24</v>
      </c>
      <c r="AA7" s="35">
        <v>25</v>
      </c>
      <c r="AB7" s="35">
        <v>26</v>
      </c>
      <c r="AC7" s="35">
        <v>27</v>
      </c>
      <c r="AD7" s="4"/>
      <c r="AE7" s="4"/>
      <c r="AF7" s="4"/>
      <c r="AG7" s="4"/>
      <c r="AH7" s="4"/>
      <c r="AI7" s="4"/>
    </row>
    <row r="8" spans="1:35" x14ac:dyDescent="0.25">
      <c r="A8" s="36">
        <v>1</v>
      </c>
      <c r="B8" s="37" t="s">
        <v>38</v>
      </c>
      <c r="C8" s="38" t="s">
        <v>39</v>
      </c>
      <c r="D8" s="39">
        <v>26969</v>
      </c>
      <c r="E8" s="38" t="s">
        <v>40</v>
      </c>
      <c r="F8" s="40" t="s">
        <v>41</v>
      </c>
      <c r="G8" s="38" t="s">
        <v>42</v>
      </c>
      <c r="H8" s="38" t="s">
        <v>43</v>
      </c>
      <c r="I8" s="38" t="s">
        <v>44</v>
      </c>
      <c r="J8" s="41" t="s">
        <v>45</v>
      </c>
      <c r="K8" s="41"/>
      <c r="L8" s="42" t="s">
        <v>46</v>
      </c>
      <c r="M8" s="38" t="s">
        <v>47</v>
      </c>
      <c r="N8" s="43" t="s">
        <v>48</v>
      </c>
      <c r="O8" s="43"/>
      <c r="P8" s="43" t="s">
        <v>48</v>
      </c>
      <c r="Q8" s="41"/>
      <c r="R8" s="44" t="s">
        <v>49</v>
      </c>
      <c r="S8" s="38" t="s">
        <v>50</v>
      </c>
      <c r="T8" s="38"/>
      <c r="U8" s="38"/>
      <c r="V8" s="39">
        <v>36015</v>
      </c>
      <c r="W8" s="43" t="s">
        <v>51</v>
      </c>
      <c r="X8" s="38"/>
      <c r="Y8" s="38" t="s">
        <v>52</v>
      </c>
      <c r="Z8" s="38" t="s">
        <v>53</v>
      </c>
      <c r="AA8" s="38" t="s">
        <v>54</v>
      </c>
      <c r="AB8" s="38" t="s">
        <v>55</v>
      </c>
      <c r="AC8" s="45"/>
      <c r="AD8" s="46"/>
      <c r="AE8" s="46"/>
      <c r="AF8" s="46"/>
      <c r="AG8" s="47"/>
      <c r="AH8" s="46"/>
      <c r="AI8" s="46"/>
    </row>
    <row r="9" spans="1:35" x14ac:dyDescent="0.25">
      <c r="A9" s="48">
        <v>2</v>
      </c>
      <c r="B9" s="37" t="s">
        <v>56</v>
      </c>
      <c r="C9" s="38" t="s">
        <v>57</v>
      </c>
      <c r="D9" s="39">
        <v>28661</v>
      </c>
      <c r="E9" s="38" t="s">
        <v>40</v>
      </c>
      <c r="F9" s="38" t="s">
        <v>41</v>
      </c>
      <c r="G9" s="38" t="s">
        <v>58</v>
      </c>
      <c r="H9" s="38" t="s">
        <v>43</v>
      </c>
      <c r="I9" s="38" t="s">
        <v>44</v>
      </c>
      <c r="J9" s="43" t="s">
        <v>59</v>
      </c>
      <c r="K9" s="43" t="s">
        <v>60</v>
      </c>
      <c r="L9" s="42" t="s">
        <v>61</v>
      </c>
      <c r="M9" s="38" t="s">
        <v>62</v>
      </c>
      <c r="N9" s="43" t="s">
        <v>48</v>
      </c>
      <c r="O9" s="43"/>
      <c r="P9" s="49" t="s">
        <v>48</v>
      </c>
      <c r="Q9" s="43" t="s">
        <v>63</v>
      </c>
      <c r="R9" s="50" t="s">
        <v>64</v>
      </c>
      <c r="S9" s="38" t="s">
        <v>58</v>
      </c>
      <c r="T9" s="38" t="s">
        <v>65</v>
      </c>
      <c r="U9" s="51"/>
      <c r="V9" s="52">
        <v>40756</v>
      </c>
      <c r="W9" s="41" t="s">
        <v>66</v>
      </c>
      <c r="X9" s="38" t="s">
        <v>67</v>
      </c>
      <c r="Y9" s="38" t="s">
        <v>52</v>
      </c>
      <c r="Z9" s="38" t="s">
        <v>68</v>
      </c>
      <c r="AA9" s="38" t="s">
        <v>54</v>
      </c>
      <c r="AB9" s="38" t="s">
        <v>55</v>
      </c>
      <c r="AC9" s="45"/>
      <c r="AD9" s="23"/>
      <c r="AE9" s="23"/>
      <c r="AF9" s="46"/>
      <c r="AG9" s="47"/>
      <c r="AH9" s="46"/>
      <c r="AI9" s="46"/>
    </row>
    <row r="10" spans="1:35" x14ac:dyDescent="0.25">
      <c r="A10" s="36">
        <v>3</v>
      </c>
      <c r="B10" s="37" t="s">
        <v>69</v>
      </c>
      <c r="C10" s="45" t="s">
        <v>70</v>
      </c>
      <c r="D10" s="39">
        <v>23846</v>
      </c>
      <c r="E10" s="38" t="s">
        <v>40</v>
      </c>
      <c r="F10" s="40" t="s">
        <v>48</v>
      </c>
      <c r="G10" s="38" t="s">
        <v>71</v>
      </c>
      <c r="H10" s="38" t="s">
        <v>72</v>
      </c>
      <c r="I10" s="38" t="s">
        <v>44</v>
      </c>
      <c r="J10" s="43" t="s">
        <v>73</v>
      </c>
      <c r="K10" s="43" t="s">
        <v>74</v>
      </c>
      <c r="L10" s="41"/>
      <c r="M10" s="38" t="s">
        <v>62</v>
      </c>
      <c r="N10" s="43" t="s">
        <v>75</v>
      </c>
      <c r="O10" s="43" t="s">
        <v>76</v>
      </c>
      <c r="P10" s="43" t="s">
        <v>77</v>
      </c>
      <c r="Q10" s="43" t="s">
        <v>74</v>
      </c>
      <c r="R10" s="50" t="s">
        <v>78</v>
      </c>
      <c r="S10" s="38"/>
      <c r="T10" s="38"/>
      <c r="U10" s="40" t="s">
        <v>74</v>
      </c>
      <c r="V10" s="52">
        <v>36168</v>
      </c>
      <c r="W10" s="41" t="s">
        <v>79</v>
      </c>
      <c r="X10" s="38" t="s">
        <v>80</v>
      </c>
      <c r="Y10" s="38" t="s">
        <v>52</v>
      </c>
      <c r="Z10" s="38" t="s">
        <v>81</v>
      </c>
      <c r="AA10" s="38" t="s">
        <v>82</v>
      </c>
      <c r="AB10" s="38" t="s">
        <v>55</v>
      </c>
      <c r="AC10" s="45"/>
      <c r="AD10" s="7"/>
      <c r="AE10" s="7"/>
      <c r="AF10" s="46"/>
      <c r="AG10" s="47"/>
      <c r="AH10" s="46"/>
      <c r="AI10" s="46"/>
    </row>
    <row r="11" spans="1:35" x14ac:dyDescent="0.25">
      <c r="A11" s="36">
        <v>4</v>
      </c>
      <c r="B11" s="53" t="s">
        <v>83</v>
      </c>
      <c r="C11" s="54"/>
      <c r="D11" s="55"/>
      <c r="E11" s="54" t="s">
        <v>40</v>
      </c>
      <c r="F11" s="53"/>
      <c r="G11" s="54"/>
      <c r="H11" s="54"/>
      <c r="I11" s="54"/>
      <c r="J11" s="54"/>
      <c r="K11" s="54"/>
      <c r="L11" s="56"/>
      <c r="M11" s="54"/>
      <c r="N11" s="54"/>
      <c r="O11" s="54"/>
      <c r="P11" s="54"/>
      <c r="Q11" s="54" t="s">
        <v>84</v>
      </c>
      <c r="R11" s="57" t="s">
        <v>74</v>
      </c>
      <c r="S11" s="54"/>
      <c r="T11" s="54"/>
      <c r="U11" s="54"/>
      <c r="V11" s="55">
        <v>36530</v>
      </c>
      <c r="W11" s="54"/>
      <c r="X11" s="54"/>
      <c r="Y11" s="54" t="s">
        <v>85</v>
      </c>
      <c r="Z11" s="54"/>
      <c r="AA11" s="54"/>
      <c r="AB11" s="54"/>
      <c r="AC11" s="58">
        <v>42767</v>
      </c>
      <c r="AD11" s="7"/>
      <c r="AE11" s="7"/>
      <c r="AF11" s="46" t="str">
        <f>IF(R11="","",RIGHT(R11,LEN(R11)-FIND("@",R11)))</f>
        <v/>
      </c>
      <c r="AG11" s="47">
        <f>LEN(R11)-LEN(SUBSTITUTE(R11," ",""))</f>
        <v>0</v>
      </c>
      <c r="AH11" s="46" t="str">
        <f>SUBSTITUTE(R11," ","")</f>
        <v/>
      </c>
      <c r="AI11" s="46">
        <f>LEN(AH11)-LEN(SUBSTITUTE(AH11," ",""))</f>
        <v>0</v>
      </c>
    </row>
    <row r="12" spans="1:35" x14ac:dyDescent="0.25">
      <c r="A12" s="36">
        <v>5</v>
      </c>
      <c r="B12" s="53" t="s">
        <v>86</v>
      </c>
      <c r="C12" s="54" t="s">
        <v>87</v>
      </c>
      <c r="D12" s="55">
        <v>24161</v>
      </c>
      <c r="E12" s="54" t="s">
        <v>40</v>
      </c>
      <c r="F12" s="53"/>
      <c r="G12" s="54" t="s">
        <v>88</v>
      </c>
      <c r="H12" s="54"/>
      <c r="I12" s="54"/>
      <c r="J12" s="54" t="s">
        <v>89</v>
      </c>
      <c r="K12" s="54"/>
      <c r="L12" s="54"/>
      <c r="M12" s="54"/>
      <c r="N12" s="54"/>
      <c r="O12" s="54"/>
      <c r="P12" s="54"/>
      <c r="Q12" s="54" t="s">
        <v>90</v>
      </c>
      <c r="R12" s="57" t="s">
        <v>74</v>
      </c>
      <c r="S12" s="54" t="s">
        <v>91</v>
      </c>
      <c r="T12" s="54"/>
      <c r="U12" s="54" t="s">
        <v>92</v>
      </c>
      <c r="V12" s="55">
        <v>36531</v>
      </c>
      <c r="W12" s="54"/>
      <c r="X12" s="54"/>
      <c r="Y12" s="54" t="s">
        <v>85</v>
      </c>
      <c r="Z12" s="54"/>
      <c r="AA12" s="54"/>
      <c r="AB12" s="54"/>
      <c r="AC12" s="58">
        <v>43466</v>
      </c>
      <c r="AD12" s="7" t="s">
        <v>1</v>
      </c>
      <c r="AE12" s="7"/>
      <c r="AF12" s="46" t="str">
        <f>IF(R12="","",RIGHT(R12,LEN(R12)-FIND("@",R12)))</f>
        <v/>
      </c>
      <c r="AG12" s="47">
        <f>LEN(R12)-LEN(SUBSTITUTE(R12," ",""))</f>
        <v>0</v>
      </c>
      <c r="AH12" s="46" t="str">
        <f>SUBSTITUTE(R12," ","")</f>
        <v/>
      </c>
      <c r="AI12" s="46">
        <f>LEN(AH12)-LEN(SUBSTITUTE(AH12," ",""))</f>
        <v>0</v>
      </c>
    </row>
    <row r="13" spans="1:35" x14ac:dyDescent="0.25">
      <c r="A13" s="36">
        <v>6</v>
      </c>
      <c r="B13" s="37" t="s">
        <v>93</v>
      </c>
      <c r="C13" s="38" t="s">
        <v>94</v>
      </c>
      <c r="D13" s="39">
        <v>26120</v>
      </c>
      <c r="E13" s="38" t="s">
        <v>95</v>
      </c>
      <c r="F13" s="38" t="s">
        <v>48</v>
      </c>
      <c r="G13" s="38" t="s">
        <v>96</v>
      </c>
      <c r="H13" s="38" t="s">
        <v>43</v>
      </c>
      <c r="I13" s="38" t="s">
        <v>44</v>
      </c>
      <c r="J13" s="43" t="s">
        <v>97</v>
      </c>
      <c r="K13" s="41"/>
      <c r="L13" s="42" t="s">
        <v>98</v>
      </c>
      <c r="M13" s="38" t="s">
        <v>99</v>
      </c>
      <c r="N13" s="43" t="s">
        <v>100</v>
      </c>
      <c r="O13" s="43" t="s">
        <v>76</v>
      </c>
      <c r="P13" s="41" t="s">
        <v>101</v>
      </c>
      <c r="Q13" s="41" t="s">
        <v>102</v>
      </c>
      <c r="R13" s="50" t="s">
        <v>103</v>
      </c>
      <c r="S13" s="38" t="s">
        <v>104</v>
      </c>
      <c r="T13" s="38" t="s">
        <v>65</v>
      </c>
      <c r="U13" s="38" t="s">
        <v>105</v>
      </c>
      <c r="V13" s="52">
        <v>38537</v>
      </c>
      <c r="W13" s="41" t="s">
        <v>106</v>
      </c>
      <c r="X13" s="38" t="s">
        <v>107</v>
      </c>
      <c r="Y13" s="38" t="s">
        <v>52</v>
      </c>
      <c r="Z13" s="38" t="s">
        <v>108</v>
      </c>
      <c r="AA13" s="38" t="s">
        <v>109</v>
      </c>
      <c r="AB13" s="38" t="s">
        <v>55</v>
      </c>
      <c r="AC13" s="45"/>
      <c r="AD13" s="7"/>
      <c r="AE13" s="7"/>
      <c r="AF13" s="46" t="str">
        <f>IF(R13="","",RIGHT(R13,LEN(R13)-FIND("@",R13)))</f>
        <v>gmail.com</v>
      </c>
      <c r="AG13" s="47">
        <f>LEN(R13)-LEN(SUBSTITUTE(R13," ",""))</f>
        <v>0</v>
      </c>
      <c r="AH13" s="46" t="str">
        <f>SUBSTITUTE(R13," ","")</f>
        <v>amy.fosa@gmail.com</v>
      </c>
      <c r="AI13" s="46">
        <f>LEN(AH13)-LEN(SUBSTITUTE(AH13," ",""))</f>
        <v>0</v>
      </c>
    </row>
    <row r="14" spans="1:35" x14ac:dyDescent="0.25">
      <c r="A14" s="36">
        <v>7</v>
      </c>
      <c r="B14" s="37" t="s">
        <v>110</v>
      </c>
      <c r="C14" s="38" t="s">
        <v>111</v>
      </c>
      <c r="D14" s="39">
        <v>26619</v>
      </c>
      <c r="E14" s="38" t="s">
        <v>40</v>
      </c>
      <c r="F14" s="40" t="s">
        <v>48</v>
      </c>
      <c r="G14" s="38" t="s">
        <v>112</v>
      </c>
      <c r="H14" s="38" t="s">
        <v>113</v>
      </c>
      <c r="I14" s="38" t="s">
        <v>114</v>
      </c>
      <c r="J14" s="41" t="s">
        <v>115</v>
      </c>
      <c r="K14" s="41"/>
      <c r="L14" s="41"/>
      <c r="M14" s="38" t="s">
        <v>116</v>
      </c>
      <c r="N14" s="43" t="s">
        <v>117</v>
      </c>
      <c r="O14" s="43" t="s">
        <v>76</v>
      </c>
      <c r="P14" s="41" t="s">
        <v>118</v>
      </c>
      <c r="Q14" s="41" t="s">
        <v>119</v>
      </c>
      <c r="R14" s="50" t="s">
        <v>120</v>
      </c>
      <c r="S14" s="38" t="s">
        <v>121</v>
      </c>
      <c r="T14" s="38" t="s">
        <v>122</v>
      </c>
      <c r="U14" s="38">
        <v>81916570447</v>
      </c>
      <c r="V14" s="52">
        <v>38600</v>
      </c>
      <c r="W14" s="41" t="s">
        <v>123</v>
      </c>
      <c r="X14" s="38" t="s">
        <v>124</v>
      </c>
      <c r="Y14" s="38" t="s">
        <v>52</v>
      </c>
      <c r="Z14" s="38" t="s">
        <v>108</v>
      </c>
      <c r="AA14" s="38" t="s">
        <v>125</v>
      </c>
      <c r="AB14" s="38" t="s">
        <v>126</v>
      </c>
      <c r="AC14" s="45"/>
      <c r="AD14" s="7"/>
      <c r="AE14" s="7"/>
      <c r="AF14" s="46" t="str">
        <f>IF(R14="","",RIGHT(R14,LEN(R14)-FIND("@",R14)))</f>
        <v>gmail.com</v>
      </c>
      <c r="AG14" s="47">
        <f>LEN(R14)-LEN(SUBSTITUTE(R14," ",""))</f>
        <v>0</v>
      </c>
      <c r="AH14" s="46" t="str">
        <f>SUBSTITUTE(R14," ","")</f>
        <v>novie.indriawan@gmail.com</v>
      </c>
      <c r="AI14" s="46">
        <f>LEN(AH14)-LEN(SUBSTITUTE(AH14," ",""))</f>
        <v>0</v>
      </c>
    </row>
    <row r="15" spans="1:35" x14ac:dyDescent="0.25">
      <c r="A15" s="48">
        <v>8</v>
      </c>
      <c r="B15" s="37" t="s">
        <v>127</v>
      </c>
      <c r="C15" s="38" t="s">
        <v>128</v>
      </c>
      <c r="D15" s="39">
        <v>26724</v>
      </c>
      <c r="E15" s="38" t="s">
        <v>40</v>
      </c>
      <c r="F15" s="38" t="s">
        <v>129</v>
      </c>
      <c r="G15" s="38" t="s">
        <v>130</v>
      </c>
      <c r="H15" s="38" t="s">
        <v>72</v>
      </c>
      <c r="I15" s="38" t="s">
        <v>44</v>
      </c>
      <c r="J15" s="43" t="s">
        <v>131</v>
      </c>
      <c r="K15" s="43" t="s">
        <v>132</v>
      </c>
      <c r="L15" s="41"/>
      <c r="M15" s="38" t="s">
        <v>133</v>
      </c>
      <c r="N15" s="41" t="s">
        <v>134</v>
      </c>
      <c r="O15" s="41" t="s">
        <v>76</v>
      </c>
      <c r="P15" s="41" t="s">
        <v>135</v>
      </c>
      <c r="Q15" s="41"/>
      <c r="R15" s="50" t="s">
        <v>136</v>
      </c>
      <c r="S15" s="38" t="s">
        <v>137</v>
      </c>
      <c r="T15" s="38"/>
      <c r="U15" s="38"/>
      <c r="V15" s="52">
        <v>39793</v>
      </c>
      <c r="W15" s="41" t="s">
        <v>138</v>
      </c>
      <c r="X15" s="38" t="s">
        <v>139</v>
      </c>
      <c r="Y15" s="38" t="s">
        <v>52</v>
      </c>
      <c r="Z15" s="38" t="s">
        <v>108</v>
      </c>
      <c r="AA15" s="38" t="s">
        <v>125</v>
      </c>
      <c r="AB15" s="38" t="s">
        <v>140</v>
      </c>
      <c r="AC15" s="45"/>
      <c r="AD15" s="7"/>
      <c r="AE15" s="7"/>
      <c r="AF15" s="46"/>
      <c r="AG15" s="47"/>
      <c r="AH15" s="46"/>
      <c r="AI15" s="46"/>
    </row>
    <row r="16" spans="1:35" x14ac:dyDescent="0.25">
      <c r="A16" s="36">
        <v>9</v>
      </c>
      <c r="B16" s="37" t="s">
        <v>141</v>
      </c>
      <c r="C16" s="38" t="s">
        <v>142</v>
      </c>
      <c r="D16" s="39">
        <v>27431</v>
      </c>
      <c r="E16" s="38" t="s">
        <v>95</v>
      </c>
      <c r="F16" s="40" t="s">
        <v>48</v>
      </c>
      <c r="G16" s="38" t="s">
        <v>143</v>
      </c>
      <c r="H16" s="38" t="s">
        <v>43</v>
      </c>
      <c r="I16" s="38" t="s">
        <v>114</v>
      </c>
      <c r="J16" s="41" t="s">
        <v>144</v>
      </c>
      <c r="K16" s="41" t="s">
        <v>145</v>
      </c>
      <c r="L16" s="43"/>
      <c r="M16" s="38" t="s">
        <v>99</v>
      </c>
      <c r="N16" s="43" t="s">
        <v>146</v>
      </c>
      <c r="O16" s="43" t="s">
        <v>147</v>
      </c>
      <c r="P16" s="41" t="s">
        <v>148</v>
      </c>
      <c r="Q16" s="43" t="s">
        <v>149</v>
      </c>
      <c r="R16" s="50" t="s">
        <v>150</v>
      </c>
      <c r="S16" s="38" t="s">
        <v>151</v>
      </c>
      <c r="T16" s="38" t="s">
        <v>152</v>
      </c>
      <c r="U16" s="40" t="s">
        <v>153</v>
      </c>
      <c r="V16" s="52">
        <v>40161</v>
      </c>
      <c r="W16" s="41" t="s">
        <v>154</v>
      </c>
      <c r="X16" s="38" t="s">
        <v>155</v>
      </c>
      <c r="Y16" s="38" t="s">
        <v>52</v>
      </c>
      <c r="Z16" s="38" t="s">
        <v>156</v>
      </c>
      <c r="AA16" s="38" t="s">
        <v>125</v>
      </c>
      <c r="AB16" s="38" t="s">
        <v>157</v>
      </c>
      <c r="AC16" s="45"/>
      <c r="AD16" s="7"/>
      <c r="AE16" s="7"/>
      <c r="AF16" s="46"/>
      <c r="AG16" s="47"/>
      <c r="AH16" s="46"/>
      <c r="AI16" s="46"/>
    </row>
    <row r="17" spans="1:35" x14ac:dyDescent="0.25">
      <c r="A17" s="36">
        <v>10</v>
      </c>
      <c r="B17" s="37" t="s">
        <v>158</v>
      </c>
      <c r="C17" s="38" t="s">
        <v>159</v>
      </c>
      <c r="D17" s="39">
        <v>26672</v>
      </c>
      <c r="E17" s="38" t="s">
        <v>95</v>
      </c>
      <c r="F17" s="38" t="s">
        <v>129</v>
      </c>
      <c r="G17" s="38" t="s">
        <v>160</v>
      </c>
      <c r="H17" s="38" t="s">
        <v>113</v>
      </c>
      <c r="I17" s="38" t="s">
        <v>114</v>
      </c>
      <c r="J17" s="41" t="s">
        <v>161</v>
      </c>
      <c r="K17" s="41" t="s">
        <v>162</v>
      </c>
      <c r="L17" s="43"/>
      <c r="M17" s="38" t="s">
        <v>99</v>
      </c>
      <c r="N17" s="43" t="s">
        <v>163</v>
      </c>
      <c r="O17" s="43" t="s">
        <v>164</v>
      </c>
      <c r="P17" s="59" t="s">
        <v>165</v>
      </c>
      <c r="Q17" s="43" t="s">
        <v>166</v>
      </c>
      <c r="R17" s="50" t="s">
        <v>167</v>
      </c>
      <c r="S17" s="38" t="s">
        <v>168</v>
      </c>
      <c r="T17" s="38" t="s">
        <v>65</v>
      </c>
      <c r="U17" s="40" t="s">
        <v>169</v>
      </c>
      <c r="V17" s="52">
        <v>40266</v>
      </c>
      <c r="W17" s="41" t="s">
        <v>170</v>
      </c>
      <c r="X17" s="38" t="s">
        <v>171</v>
      </c>
      <c r="Y17" s="38" t="s">
        <v>52</v>
      </c>
      <c r="Z17" s="38" t="s">
        <v>172</v>
      </c>
      <c r="AA17" s="38" t="s">
        <v>125</v>
      </c>
      <c r="AB17" s="38" t="s">
        <v>173</v>
      </c>
      <c r="AC17" s="45"/>
      <c r="AD17" s="7"/>
      <c r="AE17" s="7"/>
      <c r="AF17" s="46" t="str">
        <f>IF(R17="","",RIGHT(R17,LEN(R17)-FIND("@",R17)))</f>
        <v>gmail.com</v>
      </c>
      <c r="AG17" s="47">
        <f>LEN(R17)-LEN(SUBSTITUTE(R17," ",""))</f>
        <v>0</v>
      </c>
      <c r="AH17" s="46" t="str">
        <f>SUBSTITUTE(R17," ","")</f>
        <v>srir92693@gmail.com</v>
      </c>
      <c r="AI17" s="46">
        <f>LEN(AH17)-LEN(SUBSTITUTE(AH17," ",""))</f>
        <v>0</v>
      </c>
    </row>
    <row r="18" spans="1:35" x14ac:dyDescent="0.25">
      <c r="A18" s="36">
        <v>11</v>
      </c>
      <c r="B18" s="53" t="s">
        <v>174</v>
      </c>
      <c r="C18" s="54" t="s">
        <v>175</v>
      </c>
      <c r="D18" s="55">
        <v>36024</v>
      </c>
      <c r="E18" s="54" t="s">
        <v>95</v>
      </c>
      <c r="F18" s="53"/>
      <c r="G18" s="54" t="s">
        <v>176</v>
      </c>
      <c r="H18" s="54"/>
      <c r="I18" s="54"/>
      <c r="J18" s="54"/>
      <c r="K18" s="54"/>
      <c r="L18" s="54"/>
      <c r="M18" s="54" t="s">
        <v>99</v>
      </c>
      <c r="N18" s="54"/>
      <c r="O18" s="54"/>
      <c r="P18" s="54"/>
      <c r="Q18" s="54" t="s">
        <v>177</v>
      </c>
      <c r="R18" s="57" t="s">
        <v>74</v>
      </c>
      <c r="S18" s="54" t="s">
        <v>178</v>
      </c>
      <c r="T18" s="54"/>
      <c r="U18" s="54"/>
      <c r="V18" s="55">
        <v>40630</v>
      </c>
      <c r="W18" s="54"/>
      <c r="X18" s="54"/>
      <c r="Y18" s="54" t="s">
        <v>85</v>
      </c>
      <c r="Z18" s="54"/>
      <c r="AA18" s="54"/>
      <c r="AB18" s="54"/>
      <c r="AC18" s="58">
        <v>42967</v>
      </c>
      <c r="AD18" s="7"/>
      <c r="AE18" s="7"/>
      <c r="AF18" s="46"/>
      <c r="AG18" s="47"/>
      <c r="AH18" s="46"/>
      <c r="AI18" s="46"/>
    </row>
    <row r="19" spans="1:35" x14ac:dyDescent="0.25">
      <c r="A19" s="36">
        <v>12</v>
      </c>
      <c r="B19" s="37" t="s">
        <v>179</v>
      </c>
      <c r="C19" s="38" t="s">
        <v>180</v>
      </c>
      <c r="D19" s="39">
        <v>34109</v>
      </c>
      <c r="E19" s="38" t="s">
        <v>40</v>
      </c>
      <c r="F19" s="40" t="s">
        <v>48</v>
      </c>
      <c r="G19" s="38" t="s">
        <v>181</v>
      </c>
      <c r="H19" s="38" t="s">
        <v>72</v>
      </c>
      <c r="I19" s="38" t="s">
        <v>44</v>
      </c>
      <c r="J19" s="41" t="s">
        <v>182</v>
      </c>
      <c r="K19" s="41" t="s">
        <v>183</v>
      </c>
      <c r="L19" s="43"/>
      <c r="M19" s="38" t="s">
        <v>133</v>
      </c>
      <c r="N19" s="41" t="s">
        <v>184</v>
      </c>
      <c r="O19" s="41" t="s">
        <v>76</v>
      </c>
      <c r="P19" s="41" t="s">
        <v>185</v>
      </c>
      <c r="Q19" s="43" t="s">
        <v>186</v>
      </c>
      <c r="R19" s="50" t="s">
        <v>187</v>
      </c>
      <c r="S19" s="38" t="s">
        <v>188</v>
      </c>
      <c r="T19" s="38" t="s">
        <v>189</v>
      </c>
      <c r="U19" s="38" t="s">
        <v>190</v>
      </c>
      <c r="V19" s="52">
        <v>40828</v>
      </c>
      <c r="W19" s="41" t="s">
        <v>191</v>
      </c>
      <c r="X19" s="38" t="s">
        <v>192</v>
      </c>
      <c r="Y19" s="38" t="s">
        <v>52</v>
      </c>
      <c r="Z19" s="38" t="s">
        <v>108</v>
      </c>
      <c r="AA19" s="38" t="s">
        <v>125</v>
      </c>
      <c r="AB19" s="38" t="s">
        <v>193</v>
      </c>
      <c r="AC19" s="45"/>
      <c r="AD19" s="7"/>
      <c r="AE19" s="7"/>
      <c r="AF19" s="46"/>
      <c r="AG19" s="47"/>
      <c r="AH19" s="46"/>
      <c r="AI19" s="46"/>
    </row>
    <row r="20" spans="1:35" x14ac:dyDescent="0.25">
      <c r="A20" s="36">
        <v>13</v>
      </c>
      <c r="B20" s="53" t="s">
        <v>194</v>
      </c>
      <c r="C20" s="54" t="s">
        <v>195</v>
      </c>
      <c r="D20" s="55">
        <v>30536</v>
      </c>
      <c r="E20" s="54" t="s">
        <v>95</v>
      </c>
      <c r="F20" s="53"/>
      <c r="G20" s="54"/>
      <c r="H20" s="54"/>
      <c r="I20" s="54"/>
      <c r="J20" s="54" t="s">
        <v>196</v>
      </c>
      <c r="K20" s="54"/>
      <c r="L20" s="54"/>
      <c r="M20" s="54" t="s">
        <v>99</v>
      </c>
      <c r="N20" s="54"/>
      <c r="O20" s="54"/>
      <c r="P20" s="54"/>
      <c r="Q20" s="54">
        <v>8970251066</v>
      </c>
      <c r="R20" s="57" t="s">
        <v>74</v>
      </c>
      <c r="S20" s="54" t="s">
        <v>197</v>
      </c>
      <c r="T20" s="54"/>
      <c r="U20" s="54"/>
      <c r="V20" s="55">
        <v>40940</v>
      </c>
      <c r="W20" s="54"/>
      <c r="X20" s="54"/>
      <c r="Y20" s="54" t="s">
        <v>85</v>
      </c>
      <c r="Z20" s="54"/>
      <c r="AA20" s="54"/>
      <c r="AB20" s="54"/>
      <c r="AC20" s="58">
        <v>43647</v>
      </c>
      <c r="AD20" s="7"/>
      <c r="AE20" s="7"/>
      <c r="AF20" s="46" t="str">
        <f>IF(R20="","",RIGHT(R20,LEN(R20)-FIND("@",R20)))</f>
        <v/>
      </c>
      <c r="AG20" s="47">
        <f>LEN(R20)-LEN(SUBSTITUTE(R20," ",""))</f>
        <v>0</v>
      </c>
      <c r="AH20" s="46" t="str">
        <f>SUBSTITUTE(R20," ","")</f>
        <v/>
      </c>
      <c r="AI20" s="46">
        <f>LEN(AH20)-LEN(SUBSTITUTE(AH20," ",""))</f>
        <v>0</v>
      </c>
    </row>
    <row r="21" spans="1:35" x14ac:dyDescent="0.25">
      <c r="A21" s="48">
        <v>14</v>
      </c>
      <c r="B21" s="37" t="s">
        <v>198</v>
      </c>
      <c r="C21" s="38" t="s">
        <v>199</v>
      </c>
      <c r="D21" s="39">
        <v>30800</v>
      </c>
      <c r="E21" s="38" t="s">
        <v>95</v>
      </c>
      <c r="F21" s="40" t="s">
        <v>48</v>
      </c>
      <c r="G21" s="38" t="s">
        <v>200</v>
      </c>
      <c r="H21" s="38" t="s">
        <v>72</v>
      </c>
      <c r="I21" s="38" t="s">
        <v>44</v>
      </c>
      <c r="J21" s="41" t="s">
        <v>201</v>
      </c>
      <c r="K21" s="41" t="s">
        <v>202</v>
      </c>
      <c r="L21" s="42" t="s">
        <v>203</v>
      </c>
      <c r="M21" s="38" t="s">
        <v>99</v>
      </c>
      <c r="N21" s="41" t="s">
        <v>204</v>
      </c>
      <c r="O21" s="41" t="s">
        <v>76</v>
      </c>
      <c r="P21" s="41" t="s">
        <v>205</v>
      </c>
      <c r="Q21" s="41" t="s">
        <v>206</v>
      </c>
      <c r="R21" s="50" t="s">
        <v>207</v>
      </c>
      <c r="S21" s="38" t="s">
        <v>208</v>
      </c>
      <c r="T21" s="38" t="s">
        <v>209</v>
      </c>
      <c r="U21" s="40" t="s">
        <v>210</v>
      </c>
      <c r="V21" s="52">
        <v>40941</v>
      </c>
      <c r="W21" s="41" t="s">
        <v>211</v>
      </c>
      <c r="X21" s="38" t="s">
        <v>212</v>
      </c>
      <c r="Y21" s="38" t="s">
        <v>52</v>
      </c>
      <c r="Z21" s="38" t="s">
        <v>108</v>
      </c>
      <c r="AA21" s="38" t="s">
        <v>213</v>
      </c>
      <c r="AB21" s="38" t="s">
        <v>214</v>
      </c>
      <c r="AC21" s="45"/>
      <c r="AD21" s="7"/>
      <c r="AE21" s="7"/>
      <c r="AF21" s="46"/>
      <c r="AG21" s="47"/>
      <c r="AH21" s="46"/>
      <c r="AI21" s="46"/>
    </row>
    <row r="22" spans="1:35" x14ac:dyDescent="0.25">
      <c r="A22" s="36">
        <v>15</v>
      </c>
      <c r="B22" s="37" t="s">
        <v>215</v>
      </c>
      <c r="C22" s="38" t="s">
        <v>216</v>
      </c>
      <c r="D22" s="39">
        <v>25859</v>
      </c>
      <c r="E22" s="38" t="s">
        <v>95</v>
      </c>
      <c r="F22" s="38" t="s">
        <v>41</v>
      </c>
      <c r="G22" s="38" t="s">
        <v>217</v>
      </c>
      <c r="H22" s="38" t="s">
        <v>113</v>
      </c>
      <c r="I22" s="38" t="s">
        <v>44</v>
      </c>
      <c r="J22" s="41" t="s">
        <v>218</v>
      </c>
      <c r="K22" s="41" t="s">
        <v>218</v>
      </c>
      <c r="L22" s="41"/>
      <c r="M22" s="38" t="s">
        <v>99</v>
      </c>
      <c r="N22" s="41" t="s">
        <v>219</v>
      </c>
      <c r="O22" s="41" t="s">
        <v>76</v>
      </c>
      <c r="P22" s="41" t="s">
        <v>220</v>
      </c>
      <c r="Q22" s="41"/>
      <c r="R22" s="50" t="s">
        <v>221</v>
      </c>
      <c r="S22" s="38" t="s">
        <v>222</v>
      </c>
      <c r="T22" s="38" t="s">
        <v>223</v>
      </c>
      <c r="U22" s="38">
        <v>82145237142</v>
      </c>
      <c r="V22" s="52">
        <v>40977</v>
      </c>
      <c r="W22" s="41" t="s">
        <v>224</v>
      </c>
      <c r="X22" s="38" t="s">
        <v>225</v>
      </c>
      <c r="Y22" s="38" t="s">
        <v>52</v>
      </c>
      <c r="Z22" s="38" t="s">
        <v>226</v>
      </c>
      <c r="AA22" s="38" t="s">
        <v>227</v>
      </c>
      <c r="AB22" s="38" t="s">
        <v>55</v>
      </c>
      <c r="AC22" s="45"/>
      <c r="AD22" s="7"/>
      <c r="AE22" s="7"/>
      <c r="AF22" s="46"/>
      <c r="AG22" s="47"/>
      <c r="AH22" s="46"/>
      <c r="AI22" s="46"/>
    </row>
    <row r="23" spans="1:35" x14ac:dyDescent="0.25">
      <c r="A23" s="36">
        <v>16</v>
      </c>
      <c r="B23" s="53" t="s">
        <v>228</v>
      </c>
      <c r="C23" s="54" t="s">
        <v>94</v>
      </c>
      <c r="D23" s="55">
        <v>33312</v>
      </c>
      <c r="E23" s="54" t="s">
        <v>40</v>
      </c>
      <c r="F23" s="53"/>
      <c r="G23" s="54" t="s">
        <v>229</v>
      </c>
      <c r="H23" s="54"/>
      <c r="I23" s="54"/>
      <c r="J23" s="54" t="s">
        <v>230</v>
      </c>
      <c r="K23" s="54"/>
      <c r="L23" s="54"/>
      <c r="M23" s="54"/>
      <c r="N23" s="54"/>
      <c r="O23" s="54"/>
      <c r="P23" s="54"/>
      <c r="Q23" s="54" t="s">
        <v>231</v>
      </c>
      <c r="R23" s="57" t="s">
        <v>74</v>
      </c>
      <c r="S23" s="54" t="s">
        <v>229</v>
      </c>
      <c r="T23" s="54"/>
      <c r="U23" s="54"/>
      <c r="V23" s="55">
        <v>41003</v>
      </c>
      <c r="W23" s="54"/>
      <c r="X23" s="54"/>
      <c r="Y23" s="54" t="s">
        <v>85</v>
      </c>
      <c r="Z23" s="54"/>
      <c r="AA23" s="54"/>
      <c r="AB23" s="54"/>
      <c r="AC23" s="58">
        <v>42614</v>
      </c>
      <c r="AD23" s="7"/>
      <c r="AE23" s="7"/>
      <c r="AF23" s="46"/>
      <c r="AG23" s="47"/>
      <c r="AH23" s="46"/>
      <c r="AI23" s="46"/>
    </row>
    <row r="24" spans="1:35" x14ac:dyDescent="0.25">
      <c r="A24" s="36">
        <v>17</v>
      </c>
      <c r="B24" s="37" t="s">
        <v>232</v>
      </c>
      <c r="C24" s="38" t="s">
        <v>233</v>
      </c>
      <c r="D24" s="39">
        <v>33831</v>
      </c>
      <c r="E24" s="38" t="s">
        <v>95</v>
      </c>
      <c r="F24" s="38" t="s">
        <v>48</v>
      </c>
      <c r="G24" s="38" t="s">
        <v>234</v>
      </c>
      <c r="H24" s="38" t="s">
        <v>113</v>
      </c>
      <c r="I24" s="38" t="s">
        <v>44</v>
      </c>
      <c r="J24" s="41" t="s">
        <v>235</v>
      </c>
      <c r="K24" s="41" t="s">
        <v>236</v>
      </c>
      <c r="L24" s="41"/>
      <c r="M24" s="38" t="s">
        <v>99</v>
      </c>
      <c r="N24" s="41" t="s">
        <v>237</v>
      </c>
      <c r="O24" s="41" t="s">
        <v>164</v>
      </c>
      <c r="P24" s="41" t="s">
        <v>238</v>
      </c>
      <c r="Q24" s="41" t="s">
        <v>239</v>
      </c>
      <c r="R24" s="50" t="s">
        <v>240</v>
      </c>
      <c r="S24" s="38" t="s">
        <v>241</v>
      </c>
      <c r="T24" s="38" t="s">
        <v>242</v>
      </c>
      <c r="U24" s="38" t="s">
        <v>243</v>
      </c>
      <c r="V24" s="60">
        <v>41009</v>
      </c>
      <c r="W24" s="41" t="s">
        <v>244</v>
      </c>
      <c r="X24" s="38" t="s">
        <v>245</v>
      </c>
      <c r="Y24" s="38" t="s">
        <v>52</v>
      </c>
      <c r="Z24" s="38" t="s">
        <v>226</v>
      </c>
      <c r="AA24" s="38" t="s">
        <v>125</v>
      </c>
      <c r="AB24" s="61" t="s">
        <v>246</v>
      </c>
      <c r="AC24" s="45"/>
      <c r="AD24" s="7"/>
      <c r="AE24" s="7"/>
      <c r="AF24" s="46" t="str">
        <f>IF(R24="","",RIGHT(R24,LEN(R24)-FIND("@",R24)))</f>
        <v>gmail.com</v>
      </c>
      <c r="AG24" s="47">
        <f>LEN(R24)-LEN(SUBSTITUTE(R24," ",""))</f>
        <v>0</v>
      </c>
      <c r="AH24" s="46" t="str">
        <f>SUBSTITUTE(R24," ","")</f>
        <v>mikhaylanafisha31@gmail.com</v>
      </c>
      <c r="AI24" s="46">
        <f>LEN(AH24)-LEN(SUBSTITUTE(AH24," ",""))</f>
        <v>0</v>
      </c>
    </row>
    <row r="25" spans="1:35" x14ac:dyDescent="0.25">
      <c r="A25" s="36">
        <v>18</v>
      </c>
      <c r="B25" s="53" t="s">
        <v>247</v>
      </c>
      <c r="C25" s="54" t="s">
        <v>248</v>
      </c>
      <c r="D25" s="55">
        <v>34408</v>
      </c>
      <c r="E25" s="54" t="s">
        <v>40</v>
      </c>
      <c r="F25" s="53"/>
      <c r="G25" s="54" t="s">
        <v>249</v>
      </c>
      <c r="H25" s="54"/>
      <c r="I25" s="54"/>
      <c r="J25" s="54" t="s">
        <v>250</v>
      </c>
      <c r="K25" s="54"/>
      <c r="L25" s="54"/>
      <c r="M25" s="54"/>
      <c r="N25" s="54"/>
      <c r="O25" s="54"/>
      <c r="P25" s="54"/>
      <c r="Q25" s="54" t="s">
        <v>251</v>
      </c>
      <c r="R25" s="57" t="s">
        <v>74</v>
      </c>
      <c r="S25" s="54" t="s">
        <v>252</v>
      </c>
      <c r="T25" s="54"/>
      <c r="U25" s="54" t="s">
        <v>253</v>
      </c>
      <c r="V25" s="55">
        <v>41009</v>
      </c>
      <c r="W25" s="54"/>
      <c r="X25" s="54"/>
      <c r="Y25" s="54" t="s">
        <v>85</v>
      </c>
      <c r="Z25" s="54"/>
      <c r="AA25" s="54"/>
      <c r="AB25" s="54"/>
      <c r="AC25" s="58" t="s">
        <v>254</v>
      </c>
      <c r="AD25" s="7"/>
      <c r="AE25" s="7"/>
      <c r="AF25" s="46" t="str">
        <f>IF(R25="","",RIGHT(R25,LEN(R25)-FIND("@",R25)))</f>
        <v/>
      </c>
      <c r="AG25" s="47">
        <f>LEN(R25)-LEN(SUBSTITUTE(R25," ",""))</f>
        <v>0</v>
      </c>
      <c r="AH25" s="46" t="str">
        <f>SUBSTITUTE(R25," ","")</f>
        <v/>
      </c>
      <c r="AI25" s="46">
        <f>LEN(AH25)-LEN(SUBSTITUTE(AH25," ",""))</f>
        <v>0</v>
      </c>
    </row>
    <row r="26" spans="1:35" x14ac:dyDescent="0.25">
      <c r="A26" s="36">
        <v>19</v>
      </c>
      <c r="B26" s="53" t="s">
        <v>255</v>
      </c>
      <c r="C26" s="54" t="s">
        <v>175</v>
      </c>
      <c r="D26" s="55">
        <v>32907</v>
      </c>
      <c r="E26" s="54" t="s">
        <v>95</v>
      </c>
      <c r="F26" s="53"/>
      <c r="G26" s="54" t="s">
        <v>256</v>
      </c>
      <c r="H26" s="54"/>
      <c r="I26" s="54"/>
      <c r="J26" s="54" t="s">
        <v>257</v>
      </c>
      <c r="K26" s="54"/>
      <c r="L26" s="56"/>
      <c r="M26" s="54" t="s">
        <v>99</v>
      </c>
      <c r="N26" s="54"/>
      <c r="O26" s="54"/>
      <c r="P26" s="54"/>
      <c r="Q26" s="54" t="s">
        <v>258</v>
      </c>
      <c r="R26" s="57" t="s">
        <v>74</v>
      </c>
      <c r="S26" s="54" t="s">
        <v>259</v>
      </c>
      <c r="T26" s="54"/>
      <c r="U26" s="54"/>
      <c r="V26" s="55">
        <v>41144</v>
      </c>
      <c r="W26" s="54"/>
      <c r="X26" s="54"/>
      <c r="Y26" s="54" t="s">
        <v>85</v>
      </c>
      <c r="Z26" s="54"/>
      <c r="AA26" s="54"/>
      <c r="AB26" s="54"/>
      <c r="AC26" s="58">
        <v>43040</v>
      </c>
      <c r="AD26" s="7"/>
      <c r="AE26" s="7"/>
      <c r="AF26" s="46" t="str">
        <f>IF(R26="","",RIGHT(R26,LEN(R26)-FIND("@",R26)))</f>
        <v/>
      </c>
      <c r="AG26" s="47">
        <f>LEN(R26)-LEN(SUBSTITUTE(R26," ",""))</f>
        <v>0</v>
      </c>
      <c r="AH26" s="46" t="str">
        <f>SUBSTITUTE(R26," ","")</f>
        <v/>
      </c>
      <c r="AI26" s="46">
        <f>LEN(AH26)-LEN(SUBSTITUTE(AH26," ",""))</f>
        <v>0</v>
      </c>
    </row>
    <row r="27" spans="1:35" x14ac:dyDescent="0.25">
      <c r="A27" s="48">
        <v>20</v>
      </c>
      <c r="B27" s="53" t="s">
        <v>260</v>
      </c>
      <c r="C27" s="54" t="s">
        <v>261</v>
      </c>
      <c r="D27" s="55">
        <v>30204</v>
      </c>
      <c r="E27" s="54" t="s">
        <v>40</v>
      </c>
      <c r="F27" s="53"/>
      <c r="G27" s="54" t="s">
        <v>262</v>
      </c>
      <c r="H27" s="54"/>
      <c r="I27" s="54"/>
      <c r="J27" s="54" t="s">
        <v>263</v>
      </c>
      <c r="K27" s="54"/>
      <c r="L27" s="54"/>
      <c r="M27" s="54"/>
      <c r="N27" s="54"/>
      <c r="O27" s="54"/>
      <c r="P27" s="54"/>
      <c r="Q27" s="54" t="s">
        <v>264</v>
      </c>
      <c r="R27" s="57" t="s">
        <v>74</v>
      </c>
      <c r="S27" s="54" t="s">
        <v>265</v>
      </c>
      <c r="T27" s="54"/>
      <c r="U27" s="54"/>
      <c r="V27" s="55">
        <v>41148</v>
      </c>
      <c r="W27" s="54"/>
      <c r="X27" s="54"/>
      <c r="Y27" s="54" t="s">
        <v>85</v>
      </c>
      <c r="Z27" s="54"/>
      <c r="AA27" s="54"/>
      <c r="AB27" s="54"/>
      <c r="AC27" s="58">
        <v>42917</v>
      </c>
      <c r="AD27" s="7"/>
      <c r="AE27" s="7"/>
      <c r="AF27" s="46"/>
      <c r="AG27" s="47"/>
      <c r="AH27" s="46"/>
      <c r="AI27" s="46"/>
    </row>
    <row r="28" spans="1:35" x14ac:dyDescent="0.25">
      <c r="A28" s="36">
        <v>21</v>
      </c>
      <c r="B28" s="53" t="s">
        <v>266</v>
      </c>
      <c r="C28" s="54" t="s">
        <v>267</v>
      </c>
      <c r="D28" s="55">
        <v>30033</v>
      </c>
      <c r="E28" s="54" t="s">
        <v>40</v>
      </c>
      <c r="F28" s="53"/>
      <c r="G28" s="54" t="s">
        <v>268</v>
      </c>
      <c r="H28" s="54"/>
      <c r="I28" s="54"/>
      <c r="J28" s="54" t="s">
        <v>269</v>
      </c>
      <c r="K28" s="54"/>
      <c r="L28" s="54"/>
      <c r="M28" s="54"/>
      <c r="N28" s="54"/>
      <c r="O28" s="54"/>
      <c r="P28" s="54"/>
      <c r="Q28" s="54" t="s">
        <v>270</v>
      </c>
      <c r="R28" s="57" t="s">
        <v>74</v>
      </c>
      <c r="S28" s="54" t="s">
        <v>271</v>
      </c>
      <c r="T28" s="54"/>
      <c r="U28" s="54"/>
      <c r="V28" s="55">
        <v>41150</v>
      </c>
      <c r="W28" s="54"/>
      <c r="X28" s="54"/>
      <c r="Y28" s="54" t="s">
        <v>85</v>
      </c>
      <c r="Z28" s="54"/>
      <c r="AA28" s="54"/>
      <c r="AB28" s="54"/>
      <c r="AC28" s="58">
        <v>42979</v>
      </c>
      <c r="AD28" s="7"/>
      <c r="AE28" s="7"/>
      <c r="AF28" s="46" t="str">
        <f>IF(R28="","",RIGHT(R28,LEN(R28)-FIND("@",R28)))</f>
        <v/>
      </c>
      <c r="AG28" s="47">
        <f>LEN(R28)-LEN(SUBSTITUTE(R28," ",""))</f>
        <v>0</v>
      </c>
      <c r="AH28" s="46" t="str">
        <f>SUBSTITUTE(R28," ","")</f>
        <v/>
      </c>
      <c r="AI28" s="46">
        <f>LEN(AH28)-LEN(SUBSTITUTE(AH28," ",""))</f>
        <v>0</v>
      </c>
    </row>
    <row r="29" spans="1:35" x14ac:dyDescent="0.25">
      <c r="A29" s="36">
        <v>22</v>
      </c>
      <c r="B29" s="37" t="s">
        <v>272</v>
      </c>
      <c r="C29" s="38" t="s">
        <v>273</v>
      </c>
      <c r="D29" s="39">
        <v>34388</v>
      </c>
      <c r="E29" s="38" t="s">
        <v>40</v>
      </c>
      <c r="F29" s="40" t="s">
        <v>48</v>
      </c>
      <c r="G29" s="38" t="s">
        <v>274</v>
      </c>
      <c r="H29" s="38" t="s">
        <v>113</v>
      </c>
      <c r="I29" s="38" t="s">
        <v>44</v>
      </c>
      <c r="J29" s="41" t="s">
        <v>275</v>
      </c>
      <c r="K29" s="41"/>
      <c r="L29" s="43"/>
      <c r="M29" s="38"/>
      <c r="N29" s="43" t="s">
        <v>276</v>
      </c>
      <c r="O29" s="43" t="s">
        <v>76</v>
      </c>
      <c r="P29" s="43" t="s">
        <v>277</v>
      </c>
      <c r="Q29" s="43" t="s">
        <v>74</v>
      </c>
      <c r="R29" s="50" t="s">
        <v>278</v>
      </c>
      <c r="S29" s="38" t="s">
        <v>279</v>
      </c>
      <c r="T29" s="38"/>
      <c r="U29" s="38"/>
      <c r="V29" s="52">
        <v>41153</v>
      </c>
      <c r="W29" s="41" t="s">
        <v>280</v>
      </c>
      <c r="X29" s="38" t="s">
        <v>281</v>
      </c>
      <c r="Y29" s="38" t="s">
        <v>52</v>
      </c>
      <c r="Z29" s="38" t="s">
        <v>108</v>
      </c>
      <c r="AA29" s="38" t="s">
        <v>125</v>
      </c>
      <c r="AB29" s="38" t="s">
        <v>282</v>
      </c>
      <c r="AC29" s="45"/>
      <c r="AD29" s="7"/>
      <c r="AE29" s="7"/>
      <c r="AF29" s="46"/>
      <c r="AG29" s="47"/>
      <c r="AH29" s="46"/>
      <c r="AI29" s="46"/>
    </row>
    <row r="30" spans="1:35" x14ac:dyDescent="0.25">
      <c r="A30" s="36">
        <v>23</v>
      </c>
      <c r="B30" s="37" t="s">
        <v>283</v>
      </c>
      <c r="C30" s="38" t="s">
        <v>284</v>
      </c>
      <c r="D30" s="39">
        <v>34008</v>
      </c>
      <c r="E30" s="38" t="s">
        <v>40</v>
      </c>
      <c r="F30" s="40" t="s">
        <v>48</v>
      </c>
      <c r="G30" s="38" t="s">
        <v>285</v>
      </c>
      <c r="H30" s="38" t="s">
        <v>72</v>
      </c>
      <c r="I30" s="38" t="s">
        <v>114</v>
      </c>
      <c r="J30" s="41" t="s">
        <v>286</v>
      </c>
      <c r="K30" s="41" t="s">
        <v>287</v>
      </c>
      <c r="L30" s="43"/>
      <c r="M30" s="38" t="s">
        <v>99</v>
      </c>
      <c r="N30" s="41" t="s">
        <v>288</v>
      </c>
      <c r="O30" s="41" t="s">
        <v>147</v>
      </c>
      <c r="P30" s="41" t="s">
        <v>289</v>
      </c>
      <c r="Q30" s="43" t="s">
        <v>290</v>
      </c>
      <c r="R30" s="50" t="s">
        <v>291</v>
      </c>
      <c r="S30" s="38" t="s">
        <v>292</v>
      </c>
      <c r="T30" s="38" t="s">
        <v>293</v>
      </c>
      <c r="U30" s="40" t="s">
        <v>290</v>
      </c>
      <c r="V30" s="52">
        <v>41153</v>
      </c>
      <c r="W30" s="41" t="s">
        <v>294</v>
      </c>
      <c r="X30" s="38" t="s">
        <v>295</v>
      </c>
      <c r="Y30" s="38" t="s">
        <v>52</v>
      </c>
      <c r="Z30" s="38" t="s">
        <v>296</v>
      </c>
      <c r="AA30" s="38" t="s">
        <v>213</v>
      </c>
      <c r="AB30" s="38" t="s">
        <v>214</v>
      </c>
      <c r="AC30" s="45"/>
      <c r="AD30" s="7"/>
      <c r="AE30" s="7"/>
      <c r="AF30" s="46" t="str">
        <f>IF(R30="","",RIGHT(R30,LEN(R30)-FIND("@",R30)))</f>
        <v>gmail.com</v>
      </c>
      <c r="AG30" s="47">
        <f>LEN(R30)-LEN(SUBSTITUTE(R30," ",""))</f>
        <v>0</v>
      </c>
      <c r="AH30" s="46" t="str">
        <f>SUBSTITUTE(R30," ","")</f>
        <v>sudiartawan817@gmail.com</v>
      </c>
      <c r="AI30" s="46">
        <f>LEN(AH30)-LEN(SUBSTITUTE(AH30," ",""))</f>
        <v>0</v>
      </c>
    </row>
    <row r="31" spans="1:35" x14ac:dyDescent="0.25">
      <c r="A31" s="36">
        <v>24</v>
      </c>
      <c r="B31" s="53" t="s">
        <v>297</v>
      </c>
      <c r="C31" s="54" t="s">
        <v>284</v>
      </c>
      <c r="D31" s="55">
        <v>34489</v>
      </c>
      <c r="E31" s="54" t="s">
        <v>40</v>
      </c>
      <c r="F31" s="53"/>
      <c r="G31" s="54" t="s">
        <v>298</v>
      </c>
      <c r="H31" s="54"/>
      <c r="I31" s="54"/>
      <c r="J31" s="54" t="s">
        <v>299</v>
      </c>
      <c r="K31" s="54"/>
      <c r="L31" s="54"/>
      <c r="M31" s="54"/>
      <c r="N31" s="54"/>
      <c r="O31" s="54"/>
      <c r="P31" s="54"/>
      <c r="Q31" s="54" t="s">
        <v>300</v>
      </c>
      <c r="R31" s="57" t="s">
        <v>74</v>
      </c>
      <c r="S31" s="56" t="s">
        <v>301</v>
      </c>
      <c r="T31" s="54"/>
      <c r="U31" s="54" t="s">
        <v>302</v>
      </c>
      <c r="V31" s="55">
        <v>41191</v>
      </c>
      <c r="W31" s="54"/>
      <c r="X31" s="54"/>
      <c r="Y31" s="54" t="s">
        <v>85</v>
      </c>
      <c r="Z31" s="54"/>
      <c r="AA31" s="54"/>
      <c r="AB31" s="54"/>
      <c r="AC31" s="58">
        <v>43525</v>
      </c>
      <c r="AD31" s="7"/>
      <c r="AE31" s="7"/>
      <c r="AF31" s="46" t="str">
        <f>IF(R31="","",RIGHT(R31,LEN(R31)-FIND("@",R31)))</f>
        <v/>
      </c>
      <c r="AG31" s="47">
        <f>LEN(R31)-LEN(SUBSTITUTE(R31," ",""))</f>
        <v>0</v>
      </c>
      <c r="AH31" s="46" t="str">
        <f>SUBSTITUTE(R31," ","")</f>
        <v/>
      </c>
      <c r="AI31" s="46">
        <f>LEN(AH31)-LEN(SUBSTITUTE(AH31," ",""))</f>
        <v>0</v>
      </c>
    </row>
    <row r="32" spans="1:35" x14ac:dyDescent="0.25">
      <c r="A32" s="36">
        <v>25</v>
      </c>
      <c r="B32" s="37" t="s">
        <v>303</v>
      </c>
      <c r="C32" s="38" t="s">
        <v>94</v>
      </c>
      <c r="D32" s="39">
        <v>34542</v>
      </c>
      <c r="E32" s="38" t="s">
        <v>95</v>
      </c>
      <c r="F32" s="38" t="s">
        <v>304</v>
      </c>
      <c r="G32" s="38" t="s">
        <v>305</v>
      </c>
      <c r="H32" s="38" t="s">
        <v>72</v>
      </c>
      <c r="I32" s="38" t="s">
        <v>114</v>
      </c>
      <c r="J32" s="41" t="s">
        <v>306</v>
      </c>
      <c r="K32" s="41" t="s">
        <v>307</v>
      </c>
      <c r="L32" s="43"/>
      <c r="M32" s="38" t="s">
        <v>99</v>
      </c>
      <c r="N32" s="43" t="s">
        <v>308</v>
      </c>
      <c r="O32" s="43" t="s">
        <v>164</v>
      </c>
      <c r="P32" s="41" t="s">
        <v>309</v>
      </c>
      <c r="Q32" s="43" t="s">
        <v>310</v>
      </c>
      <c r="R32" s="50" t="s">
        <v>311</v>
      </c>
      <c r="S32" s="62" t="s">
        <v>312</v>
      </c>
      <c r="T32" s="38" t="s">
        <v>313</v>
      </c>
      <c r="U32" s="38" t="s">
        <v>314</v>
      </c>
      <c r="V32" s="52">
        <v>41235</v>
      </c>
      <c r="W32" s="41" t="s">
        <v>315</v>
      </c>
      <c r="X32" s="38" t="s">
        <v>316</v>
      </c>
      <c r="Y32" s="38" t="s">
        <v>52</v>
      </c>
      <c r="Z32" s="38" t="s">
        <v>172</v>
      </c>
      <c r="AA32" s="38" t="s">
        <v>125</v>
      </c>
      <c r="AB32" s="38" t="s">
        <v>157</v>
      </c>
      <c r="AC32" s="45"/>
      <c r="AD32" s="7"/>
      <c r="AE32" s="7"/>
      <c r="AF32" s="46"/>
      <c r="AG32" s="47"/>
      <c r="AH32" s="46"/>
      <c r="AI32" s="46"/>
    </row>
    <row r="33" spans="1:35" x14ac:dyDescent="0.25">
      <c r="A33" s="48">
        <v>26</v>
      </c>
      <c r="B33" s="53" t="s">
        <v>317</v>
      </c>
      <c r="C33" s="54" t="s">
        <v>318</v>
      </c>
      <c r="D33" s="55">
        <v>33084</v>
      </c>
      <c r="E33" s="54" t="s">
        <v>40</v>
      </c>
      <c r="F33" s="53"/>
      <c r="G33" s="54" t="s">
        <v>319</v>
      </c>
      <c r="H33" s="54"/>
      <c r="I33" s="54"/>
      <c r="J33" s="54" t="s">
        <v>320</v>
      </c>
      <c r="K33" s="54"/>
      <c r="L33" s="54"/>
      <c r="M33" s="54"/>
      <c r="N33" s="54"/>
      <c r="O33" s="54"/>
      <c r="P33" s="54"/>
      <c r="Q33" s="54" t="s">
        <v>321</v>
      </c>
      <c r="R33" s="57" t="s">
        <v>74</v>
      </c>
      <c r="S33" s="54" t="s">
        <v>322</v>
      </c>
      <c r="T33" s="54"/>
      <c r="U33" s="54"/>
      <c r="V33" s="55">
        <v>41256</v>
      </c>
      <c r="W33" s="54"/>
      <c r="X33" s="54"/>
      <c r="Y33" s="54" t="s">
        <v>85</v>
      </c>
      <c r="Z33" s="54"/>
      <c r="AA33" s="54"/>
      <c r="AB33" s="54"/>
      <c r="AC33" s="58"/>
      <c r="AD33" s="7"/>
      <c r="AE33" s="7"/>
      <c r="AF33" s="46" t="str">
        <f>IF(R33="","",RIGHT(R33,LEN(R33)-FIND("@",R33)))</f>
        <v/>
      </c>
      <c r="AG33" s="47">
        <f>LEN(R33)-LEN(SUBSTITUTE(R33," ",""))</f>
        <v>0</v>
      </c>
      <c r="AH33" s="46" t="str">
        <f>SUBSTITUTE(R33," ","")</f>
        <v/>
      </c>
      <c r="AI33" s="46">
        <f>LEN(AH33)-LEN(SUBSTITUTE(AH33," ",""))</f>
        <v>0</v>
      </c>
    </row>
    <row r="34" spans="1:35" x14ac:dyDescent="0.25">
      <c r="A34" s="36">
        <v>27</v>
      </c>
      <c r="B34" s="53" t="s">
        <v>323</v>
      </c>
      <c r="C34" s="54" t="s">
        <v>94</v>
      </c>
      <c r="D34" s="55">
        <v>33370</v>
      </c>
      <c r="E34" s="54" t="s">
        <v>40</v>
      </c>
      <c r="F34" s="53"/>
      <c r="G34" s="54" t="s">
        <v>324</v>
      </c>
      <c r="H34" s="54"/>
      <c r="I34" s="54"/>
      <c r="J34" s="54" t="s">
        <v>325</v>
      </c>
      <c r="K34" s="54"/>
      <c r="L34" s="54"/>
      <c r="M34" s="54"/>
      <c r="N34" s="54"/>
      <c r="O34" s="54"/>
      <c r="P34" s="54"/>
      <c r="Q34" s="54" t="s">
        <v>326</v>
      </c>
      <c r="R34" s="57" t="s">
        <v>74</v>
      </c>
      <c r="S34" s="54" t="s">
        <v>324</v>
      </c>
      <c r="T34" s="54"/>
      <c r="U34" s="54"/>
      <c r="V34" s="55">
        <v>41290</v>
      </c>
      <c r="W34" s="54"/>
      <c r="X34" s="54"/>
      <c r="Y34" s="54" t="s">
        <v>85</v>
      </c>
      <c r="Z34" s="54"/>
      <c r="AA34" s="54"/>
      <c r="AB34" s="54"/>
      <c r="AC34" s="58">
        <v>42910</v>
      </c>
      <c r="AD34" s="7"/>
      <c r="AE34" s="7"/>
      <c r="AF34" s="46" t="str">
        <f>IF(R34="","",RIGHT(R34,LEN(R34)-FIND("@",R34)))</f>
        <v/>
      </c>
      <c r="AG34" s="47">
        <f>LEN(R34)-LEN(SUBSTITUTE(R34," ",""))</f>
        <v>0</v>
      </c>
      <c r="AH34" s="46" t="str">
        <f>SUBSTITUTE(R34," ","")</f>
        <v/>
      </c>
      <c r="AI34" s="46">
        <f>LEN(AH34)-LEN(SUBSTITUTE(AH34," ",""))</f>
        <v>0</v>
      </c>
    </row>
    <row r="35" spans="1:35" x14ac:dyDescent="0.25">
      <c r="A35" s="36">
        <v>28</v>
      </c>
      <c r="B35" s="37" t="s">
        <v>327</v>
      </c>
      <c r="C35" s="38" t="s">
        <v>328</v>
      </c>
      <c r="D35" s="39">
        <v>30838</v>
      </c>
      <c r="E35" s="38" t="s">
        <v>95</v>
      </c>
      <c r="F35" s="40" t="s">
        <v>48</v>
      </c>
      <c r="G35" s="38" t="s">
        <v>329</v>
      </c>
      <c r="H35" s="38" t="s">
        <v>113</v>
      </c>
      <c r="I35" s="38" t="s">
        <v>44</v>
      </c>
      <c r="J35" s="41" t="s">
        <v>330</v>
      </c>
      <c r="K35" s="41" t="s">
        <v>331</v>
      </c>
      <c r="L35" s="43"/>
      <c r="M35" s="38" t="s">
        <v>99</v>
      </c>
      <c r="N35" s="43" t="s">
        <v>332</v>
      </c>
      <c r="O35" s="43" t="s">
        <v>76</v>
      </c>
      <c r="P35" s="63" t="s">
        <v>333</v>
      </c>
      <c r="Q35" s="43" t="s">
        <v>334</v>
      </c>
      <c r="R35" s="50" t="s">
        <v>335</v>
      </c>
      <c r="S35" s="38" t="s">
        <v>336</v>
      </c>
      <c r="T35" s="38" t="s">
        <v>337</v>
      </c>
      <c r="U35" s="40" t="s">
        <v>338</v>
      </c>
      <c r="V35" s="52">
        <v>41292</v>
      </c>
      <c r="W35" s="41" t="s">
        <v>339</v>
      </c>
      <c r="X35" s="38" t="s">
        <v>340</v>
      </c>
      <c r="Y35" s="38" t="s">
        <v>52</v>
      </c>
      <c r="Z35" s="38" t="s">
        <v>108</v>
      </c>
      <c r="AA35" s="38" t="s">
        <v>125</v>
      </c>
      <c r="AB35" s="38" t="s">
        <v>341</v>
      </c>
      <c r="AC35" s="45"/>
      <c r="AD35" s="7"/>
      <c r="AE35" s="7"/>
      <c r="AF35" s="46"/>
      <c r="AG35" s="47"/>
      <c r="AH35" s="46"/>
      <c r="AI35" s="46"/>
    </row>
    <row r="36" spans="1:35" x14ac:dyDescent="0.25">
      <c r="A36" s="36">
        <v>29</v>
      </c>
      <c r="B36" s="53" t="s">
        <v>342</v>
      </c>
      <c r="C36" s="54" t="s">
        <v>343</v>
      </c>
      <c r="D36" s="55">
        <v>33539</v>
      </c>
      <c r="E36" s="54" t="s">
        <v>95</v>
      </c>
      <c r="F36" s="53"/>
      <c r="G36" s="54" t="s">
        <v>344</v>
      </c>
      <c r="H36" s="54"/>
      <c r="I36" s="54"/>
      <c r="J36" s="54" t="s">
        <v>345</v>
      </c>
      <c r="K36" s="54"/>
      <c r="L36" s="54"/>
      <c r="M36" s="54" t="s">
        <v>99</v>
      </c>
      <c r="N36" s="54"/>
      <c r="O36" s="54"/>
      <c r="P36" s="54"/>
      <c r="Q36" s="54" t="s">
        <v>346</v>
      </c>
      <c r="R36" s="57" t="s">
        <v>74</v>
      </c>
      <c r="S36" s="54" t="s">
        <v>344</v>
      </c>
      <c r="T36" s="54"/>
      <c r="U36" s="54"/>
      <c r="V36" s="55">
        <v>41292</v>
      </c>
      <c r="W36" s="54"/>
      <c r="X36" s="54"/>
      <c r="Y36" s="54" t="s">
        <v>85</v>
      </c>
      <c r="Z36" s="54"/>
      <c r="AA36" s="54"/>
      <c r="AB36" s="54"/>
      <c r="AC36" s="58">
        <v>42828</v>
      </c>
      <c r="AD36" s="7"/>
      <c r="AE36" s="7"/>
      <c r="AF36" s="46"/>
      <c r="AG36" s="47"/>
      <c r="AH36" s="46"/>
      <c r="AI36" s="46"/>
    </row>
    <row r="37" spans="1:35" x14ac:dyDescent="0.25">
      <c r="A37" s="36">
        <v>30</v>
      </c>
      <c r="B37" s="53" t="s">
        <v>347</v>
      </c>
      <c r="C37" s="54" t="s">
        <v>348</v>
      </c>
      <c r="D37" s="55">
        <v>33783</v>
      </c>
      <c r="E37" s="54" t="s">
        <v>95</v>
      </c>
      <c r="F37" s="53"/>
      <c r="G37" s="54" t="s">
        <v>349</v>
      </c>
      <c r="H37" s="54"/>
      <c r="I37" s="54"/>
      <c r="J37" s="54" t="s">
        <v>350</v>
      </c>
      <c r="K37" s="54"/>
      <c r="L37" s="54"/>
      <c r="M37" s="54" t="s">
        <v>99</v>
      </c>
      <c r="N37" s="54"/>
      <c r="O37" s="54"/>
      <c r="P37" s="54"/>
      <c r="Q37" s="54" t="s">
        <v>351</v>
      </c>
      <c r="R37" s="57" t="s">
        <v>74</v>
      </c>
      <c r="S37" s="54" t="s">
        <v>352</v>
      </c>
      <c r="T37" s="54"/>
      <c r="U37" s="54"/>
      <c r="V37" s="55">
        <v>41306</v>
      </c>
      <c r="W37" s="54"/>
      <c r="X37" s="54"/>
      <c r="Y37" s="54" t="s">
        <v>85</v>
      </c>
      <c r="Z37" s="54"/>
      <c r="AA37" s="54"/>
      <c r="AB37" s="54"/>
      <c r="AC37" s="58">
        <v>42644</v>
      </c>
      <c r="AD37" s="7"/>
      <c r="AE37" s="7"/>
      <c r="AF37" s="46" t="str">
        <f>IF(R37="","",RIGHT(R37,LEN(R37)-FIND("@",R37)))</f>
        <v/>
      </c>
      <c r="AG37" s="47">
        <f>LEN(R37)-LEN(SUBSTITUTE(R37," ",""))</f>
        <v>0</v>
      </c>
      <c r="AH37" s="46" t="str">
        <f>SUBSTITUTE(R37," ","")</f>
        <v/>
      </c>
      <c r="AI37" s="46">
        <f>LEN(AH37)-LEN(SUBSTITUTE(AH37," ",""))</f>
        <v>0</v>
      </c>
    </row>
    <row r="38" spans="1:35" x14ac:dyDescent="0.25">
      <c r="A38" s="36">
        <v>31</v>
      </c>
      <c r="B38" s="53" t="s">
        <v>353</v>
      </c>
      <c r="C38" s="54" t="s">
        <v>94</v>
      </c>
      <c r="D38" s="55">
        <v>34523</v>
      </c>
      <c r="E38" s="54" t="s">
        <v>95</v>
      </c>
      <c r="F38" s="53"/>
      <c r="G38" s="54" t="s">
        <v>354</v>
      </c>
      <c r="H38" s="54"/>
      <c r="I38" s="54"/>
      <c r="J38" s="54" t="s">
        <v>355</v>
      </c>
      <c r="K38" s="54"/>
      <c r="L38" s="54"/>
      <c r="M38" s="54" t="s">
        <v>99</v>
      </c>
      <c r="N38" s="54"/>
      <c r="O38" s="54"/>
      <c r="P38" s="54"/>
      <c r="Q38" s="54" t="s">
        <v>356</v>
      </c>
      <c r="R38" s="57" t="s">
        <v>74</v>
      </c>
      <c r="S38" s="54" t="s">
        <v>354</v>
      </c>
      <c r="T38" s="54"/>
      <c r="U38" s="54"/>
      <c r="V38" s="55">
        <v>41331</v>
      </c>
      <c r="W38" s="54"/>
      <c r="X38" s="54"/>
      <c r="Y38" s="54" t="s">
        <v>85</v>
      </c>
      <c r="Z38" s="54"/>
      <c r="AA38" s="54"/>
      <c r="AB38" s="54"/>
      <c r="AC38" s="58">
        <v>42675</v>
      </c>
      <c r="AD38" s="7"/>
      <c r="AE38" s="7"/>
      <c r="AF38" s="46" t="str">
        <f>IF(R38="","",RIGHT(R38,LEN(R38)-FIND("@",R38)))</f>
        <v/>
      </c>
      <c r="AG38" s="47">
        <f>LEN(R38)-LEN(SUBSTITUTE(R38," ",""))</f>
        <v>0</v>
      </c>
      <c r="AH38" s="46" t="str">
        <f>SUBSTITUTE(R38," ","")</f>
        <v/>
      </c>
      <c r="AI38" s="46">
        <f>LEN(AH38)-LEN(SUBSTITUTE(AH38," ",""))</f>
        <v>0</v>
      </c>
    </row>
    <row r="39" spans="1:35" x14ac:dyDescent="0.25">
      <c r="A39" s="48">
        <v>32</v>
      </c>
      <c r="B39" s="53" t="s">
        <v>357</v>
      </c>
      <c r="C39" s="54" t="s">
        <v>358</v>
      </c>
      <c r="D39" s="55">
        <v>33299</v>
      </c>
      <c r="E39" s="54" t="s">
        <v>40</v>
      </c>
      <c r="F39" s="53"/>
      <c r="G39" s="54" t="s">
        <v>359</v>
      </c>
      <c r="H39" s="54"/>
      <c r="I39" s="54"/>
      <c r="J39" s="54" t="s">
        <v>360</v>
      </c>
      <c r="K39" s="54"/>
      <c r="L39" s="54"/>
      <c r="M39" s="54"/>
      <c r="N39" s="54"/>
      <c r="O39" s="54"/>
      <c r="P39" s="54"/>
      <c r="Q39" s="54" t="s">
        <v>361</v>
      </c>
      <c r="R39" s="57" t="s">
        <v>74</v>
      </c>
      <c r="S39" s="54" t="s">
        <v>362</v>
      </c>
      <c r="T39" s="54"/>
      <c r="U39" s="54" t="s">
        <v>363</v>
      </c>
      <c r="V39" s="55">
        <v>41363</v>
      </c>
      <c r="W39" s="54"/>
      <c r="X39" s="54"/>
      <c r="Y39" s="54" t="s">
        <v>85</v>
      </c>
      <c r="Z39" s="54"/>
      <c r="AA39" s="54"/>
      <c r="AB39" s="54"/>
      <c r="AC39" s="58">
        <v>43525</v>
      </c>
      <c r="AD39" s="7"/>
      <c r="AE39" s="7"/>
      <c r="AF39" s="46"/>
      <c r="AG39" s="47"/>
      <c r="AH39" s="46"/>
      <c r="AI39" s="46"/>
    </row>
    <row r="40" spans="1:35" x14ac:dyDescent="0.25">
      <c r="A40" s="36">
        <v>33</v>
      </c>
      <c r="B40" s="53" t="s">
        <v>364</v>
      </c>
      <c r="C40" s="54" t="s">
        <v>365</v>
      </c>
      <c r="D40" s="55">
        <v>35040</v>
      </c>
      <c r="E40" s="54" t="s">
        <v>40</v>
      </c>
      <c r="F40" s="53"/>
      <c r="G40" s="54" t="s">
        <v>366</v>
      </c>
      <c r="H40" s="54"/>
      <c r="I40" s="54"/>
      <c r="J40" s="54" t="s">
        <v>367</v>
      </c>
      <c r="K40" s="54"/>
      <c r="L40" s="54"/>
      <c r="M40" s="54"/>
      <c r="N40" s="54"/>
      <c r="O40" s="54"/>
      <c r="P40" s="54"/>
      <c r="Q40" s="54" t="s">
        <v>368</v>
      </c>
      <c r="R40" s="57" t="s">
        <v>74</v>
      </c>
      <c r="S40" s="54" t="s">
        <v>366</v>
      </c>
      <c r="T40" s="54"/>
      <c r="U40" s="54"/>
      <c r="V40" s="55">
        <v>41426</v>
      </c>
      <c r="W40" s="54"/>
      <c r="X40" s="54"/>
      <c r="Y40" s="54" t="s">
        <v>85</v>
      </c>
      <c r="Z40" s="54"/>
      <c r="AA40" s="54"/>
      <c r="AB40" s="54"/>
      <c r="AC40" s="58">
        <v>43009</v>
      </c>
      <c r="AD40" s="7"/>
      <c r="AE40" s="7"/>
      <c r="AF40" s="46" t="str">
        <f>IF(R40="","",RIGHT(R40,LEN(R40)-FIND("@",R40)))</f>
        <v/>
      </c>
      <c r="AG40" s="47">
        <f>LEN(R40)-LEN(SUBSTITUTE(R40," ",""))</f>
        <v>0</v>
      </c>
      <c r="AH40" s="46" t="str">
        <f>SUBSTITUTE(R40," ","")</f>
        <v/>
      </c>
      <c r="AI40" s="46">
        <f>LEN(AH40)-LEN(SUBSTITUTE(AH40," ",""))</f>
        <v>0</v>
      </c>
    </row>
    <row r="41" spans="1:35" x14ac:dyDescent="0.25">
      <c r="A41" s="36">
        <v>34</v>
      </c>
      <c r="B41" s="37" t="s">
        <v>369</v>
      </c>
      <c r="C41" s="38" t="s">
        <v>370</v>
      </c>
      <c r="D41" s="39">
        <v>34446</v>
      </c>
      <c r="E41" s="38" t="s">
        <v>40</v>
      </c>
      <c r="F41" s="38" t="s">
        <v>48</v>
      </c>
      <c r="G41" s="38" t="s">
        <v>371</v>
      </c>
      <c r="H41" s="38" t="s">
        <v>72</v>
      </c>
      <c r="I41" s="38" t="s">
        <v>44</v>
      </c>
      <c r="J41" s="64" t="s">
        <v>372</v>
      </c>
      <c r="K41" s="41" t="s">
        <v>373</v>
      </c>
      <c r="L41" s="41"/>
      <c r="M41" s="38" t="s">
        <v>133</v>
      </c>
      <c r="N41" s="41" t="s">
        <v>374</v>
      </c>
      <c r="O41" s="41" t="s">
        <v>164</v>
      </c>
      <c r="P41" s="41" t="s">
        <v>375</v>
      </c>
      <c r="Q41" s="41" t="s">
        <v>376</v>
      </c>
      <c r="R41" s="50" t="s">
        <v>377</v>
      </c>
      <c r="S41" s="38" t="s">
        <v>378</v>
      </c>
      <c r="T41" s="38" t="s">
        <v>65</v>
      </c>
      <c r="U41" s="40" t="s">
        <v>379</v>
      </c>
      <c r="V41" s="52">
        <v>41443</v>
      </c>
      <c r="W41" s="41" t="s">
        <v>380</v>
      </c>
      <c r="X41" s="38" t="s">
        <v>381</v>
      </c>
      <c r="Y41" s="38" t="s">
        <v>52</v>
      </c>
      <c r="Z41" s="38" t="s">
        <v>108</v>
      </c>
      <c r="AA41" s="38" t="s">
        <v>125</v>
      </c>
      <c r="AB41" s="38" t="s">
        <v>382</v>
      </c>
      <c r="AC41" s="45"/>
      <c r="AD41" s="7"/>
      <c r="AE41" s="7"/>
      <c r="AF41" s="46" t="str">
        <f>IF(R41="","",RIGHT(R41,LEN(R41)-FIND("@",R41)))</f>
        <v>gmail.com</v>
      </c>
      <c r="AG41" s="47">
        <f>LEN(R41)-LEN(SUBSTITUTE(R41," ",""))</f>
        <v>0</v>
      </c>
      <c r="AH41" s="46" t="str">
        <f>SUBSTITUTE(R41," ","")</f>
        <v>ekamaraadi25@gmail.com</v>
      </c>
      <c r="AI41" s="46">
        <f>LEN(AH41)-LEN(SUBSTITUTE(AH41," ",""))</f>
        <v>0</v>
      </c>
    </row>
    <row r="42" spans="1:35" x14ac:dyDescent="0.25">
      <c r="A42" s="36">
        <v>35</v>
      </c>
      <c r="B42" s="37" t="s">
        <v>383</v>
      </c>
      <c r="C42" s="38" t="s">
        <v>267</v>
      </c>
      <c r="D42" s="39">
        <v>34900</v>
      </c>
      <c r="E42" s="38" t="s">
        <v>95</v>
      </c>
      <c r="F42" s="40" t="s">
        <v>48</v>
      </c>
      <c r="G42" s="38" t="s">
        <v>384</v>
      </c>
      <c r="H42" s="38" t="s">
        <v>72</v>
      </c>
      <c r="I42" s="38" t="s">
        <v>114</v>
      </c>
      <c r="J42" s="40" t="s">
        <v>385</v>
      </c>
      <c r="K42" s="40" t="s">
        <v>386</v>
      </c>
      <c r="L42" s="40"/>
      <c r="M42" s="38" t="s">
        <v>99</v>
      </c>
      <c r="N42" s="40" t="s">
        <v>387</v>
      </c>
      <c r="O42" s="40" t="s">
        <v>76</v>
      </c>
      <c r="P42" s="40" t="s">
        <v>388</v>
      </c>
      <c r="Q42" s="40" t="s">
        <v>389</v>
      </c>
      <c r="R42" s="50" t="s">
        <v>390</v>
      </c>
      <c r="S42" s="38" t="s">
        <v>391</v>
      </c>
      <c r="T42" s="38" t="s">
        <v>392</v>
      </c>
      <c r="U42" s="40" t="s">
        <v>393</v>
      </c>
      <c r="V42" s="52">
        <v>41451</v>
      </c>
      <c r="W42" s="65" t="s">
        <v>394</v>
      </c>
      <c r="X42" s="38" t="s">
        <v>395</v>
      </c>
      <c r="Y42" s="38" t="s">
        <v>52</v>
      </c>
      <c r="Z42" s="38" t="s">
        <v>396</v>
      </c>
      <c r="AA42" s="38" t="s">
        <v>397</v>
      </c>
      <c r="AB42" s="38" t="s">
        <v>55</v>
      </c>
      <c r="AC42" s="45"/>
      <c r="AD42" s="7"/>
      <c r="AE42" s="7"/>
      <c r="AF42" s="46"/>
      <c r="AG42" s="47"/>
      <c r="AH42" s="46"/>
      <c r="AI42" s="46"/>
    </row>
    <row r="43" spans="1:35" x14ac:dyDescent="0.25">
      <c r="A43" s="36">
        <v>36</v>
      </c>
      <c r="B43" s="53" t="s">
        <v>398</v>
      </c>
      <c r="C43" s="54" t="s">
        <v>399</v>
      </c>
      <c r="D43" s="55">
        <v>32749</v>
      </c>
      <c r="E43" s="54" t="s">
        <v>95</v>
      </c>
      <c r="F43" s="53"/>
      <c r="G43" s="54" t="s">
        <v>400</v>
      </c>
      <c r="H43" s="54"/>
      <c r="I43" s="54"/>
      <c r="J43" s="54" t="s">
        <v>401</v>
      </c>
      <c r="K43" s="54"/>
      <c r="L43" s="54"/>
      <c r="M43" s="54" t="s">
        <v>99</v>
      </c>
      <c r="N43" s="54"/>
      <c r="O43" s="54"/>
      <c r="P43" s="54"/>
      <c r="Q43" s="54" t="s">
        <v>402</v>
      </c>
      <c r="R43" s="57" t="s">
        <v>74</v>
      </c>
      <c r="S43" s="54" t="s">
        <v>403</v>
      </c>
      <c r="T43" s="54"/>
      <c r="U43" s="54"/>
      <c r="V43" s="55">
        <v>41480</v>
      </c>
      <c r="W43" s="54"/>
      <c r="X43" s="54"/>
      <c r="Y43" s="54" t="s">
        <v>85</v>
      </c>
      <c r="Z43" s="54"/>
      <c r="AA43" s="54"/>
      <c r="AB43" s="54"/>
      <c r="AC43" s="58">
        <v>42644</v>
      </c>
      <c r="AD43" s="7"/>
      <c r="AE43" s="7"/>
      <c r="AF43" s="46" t="str">
        <f>IF(R43="","",RIGHT(R43,LEN(R43)-FIND("@",R43)))</f>
        <v/>
      </c>
      <c r="AG43" s="47">
        <f>LEN(R43)-LEN(SUBSTITUTE(R43," ",""))</f>
        <v>0</v>
      </c>
      <c r="AH43" s="46" t="str">
        <f>SUBSTITUTE(R43," ","")</f>
        <v/>
      </c>
      <c r="AI43" s="46">
        <f>LEN(AH43)-LEN(SUBSTITUTE(AH43," ",""))</f>
        <v>0</v>
      </c>
    </row>
    <row r="44" spans="1:35" x14ac:dyDescent="0.25">
      <c r="A44" s="36">
        <v>37</v>
      </c>
      <c r="B44" s="37" t="s">
        <v>404</v>
      </c>
      <c r="C44" s="38" t="s">
        <v>94</v>
      </c>
      <c r="D44" s="39">
        <v>34648</v>
      </c>
      <c r="E44" s="38" t="s">
        <v>95</v>
      </c>
      <c r="F44" s="38" t="s">
        <v>129</v>
      </c>
      <c r="G44" s="38" t="s">
        <v>405</v>
      </c>
      <c r="H44" s="38" t="s">
        <v>72</v>
      </c>
      <c r="I44" s="38" t="s">
        <v>114</v>
      </c>
      <c r="J44" s="41" t="s">
        <v>406</v>
      </c>
      <c r="K44" s="41" t="s">
        <v>407</v>
      </c>
      <c r="L44" s="43"/>
      <c r="M44" s="38" t="s">
        <v>99</v>
      </c>
      <c r="N44" s="43" t="s">
        <v>48</v>
      </c>
      <c r="O44" s="43"/>
      <c r="P44" s="41" t="s">
        <v>408</v>
      </c>
      <c r="Q44" s="41" t="s">
        <v>409</v>
      </c>
      <c r="R44" s="50" t="s">
        <v>410</v>
      </c>
      <c r="S44" s="38" t="s">
        <v>411</v>
      </c>
      <c r="T44" s="38" t="s">
        <v>412</v>
      </c>
      <c r="U44" s="38" t="s">
        <v>413</v>
      </c>
      <c r="V44" s="52">
        <v>41481</v>
      </c>
      <c r="W44" s="41" t="s">
        <v>414</v>
      </c>
      <c r="X44" s="38" t="s">
        <v>415</v>
      </c>
      <c r="Y44" s="38" t="s">
        <v>52</v>
      </c>
      <c r="Z44" s="38" t="s">
        <v>416</v>
      </c>
      <c r="AA44" s="38" t="s">
        <v>109</v>
      </c>
      <c r="AB44" s="38" t="s">
        <v>55</v>
      </c>
      <c r="AC44" s="45"/>
      <c r="AD44" s="7"/>
      <c r="AE44" s="7"/>
      <c r="AF44" s="46" t="str">
        <f>IF(R44="","",RIGHT(R44,LEN(R44)-FIND("@",R44)))</f>
        <v>gmail.com</v>
      </c>
      <c r="AG44" s="47">
        <f>LEN(R44)-LEN(SUBSTITUTE(R44," ",""))</f>
        <v>0</v>
      </c>
      <c r="AH44" s="46" t="str">
        <f>SUBSTITUTE(R44," ","")</f>
        <v>merryastarini@gmail.com</v>
      </c>
      <c r="AI44" s="46">
        <f>LEN(AH44)-LEN(SUBSTITUTE(AH44," ",""))</f>
        <v>0</v>
      </c>
    </row>
    <row r="45" spans="1:35" x14ac:dyDescent="0.25">
      <c r="A45" s="48">
        <v>38</v>
      </c>
      <c r="B45" s="53" t="s">
        <v>417</v>
      </c>
      <c r="C45" s="54" t="s">
        <v>418</v>
      </c>
      <c r="D45" s="55">
        <v>34949</v>
      </c>
      <c r="E45" s="54" t="s">
        <v>40</v>
      </c>
      <c r="F45" s="53"/>
      <c r="G45" s="54" t="s">
        <v>419</v>
      </c>
      <c r="H45" s="54"/>
      <c r="I45" s="54"/>
      <c r="J45" s="54" t="s">
        <v>420</v>
      </c>
      <c r="K45" s="54"/>
      <c r="L45" s="54"/>
      <c r="M45" s="54"/>
      <c r="N45" s="54"/>
      <c r="O45" s="54"/>
      <c r="P45" s="54"/>
      <c r="Q45" s="54" t="s">
        <v>421</v>
      </c>
      <c r="R45" s="57" t="s">
        <v>74</v>
      </c>
      <c r="S45" s="54" t="s">
        <v>422</v>
      </c>
      <c r="T45" s="54"/>
      <c r="U45" s="54"/>
      <c r="V45" s="55">
        <v>41491</v>
      </c>
      <c r="W45" s="54"/>
      <c r="X45" s="54"/>
      <c r="Y45" s="54" t="s">
        <v>85</v>
      </c>
      <c r="Z45" s="54"/>
      <c r="AA45" s="54"/>
      <c r="AB45" s="54"/>
      <c r="AC45" s="58">
        <v>43009</v>
      </c>
      <c r="AD45" s="7"/>
      <c r="AE45" s="7"/>
      <c r="AF45" s="46"/>
      <c r="AG45" s="47"/>
      <c r="AH45" s="46"/>
      <c r="AI45" s="46"/>
    </row>
    <row r="46" spans="1:35" x14ac:dyDescent="0.25">
      <c r="A46" s="36">
        <v>39</v>
      </c>
      <c r="B46" s="37" t="s">
        <v>423</v>
      </c>
      <c r="C46" s="38" t="s">
        <v>424</v>
      </c>
      <c r="D46" s="39">
        <v>34866</v>
      </c>
      <c r="E46" s="38" t="s">
        <v>40</v>
      </c>
      <c r="F46" s="40" t="s">
        <v>48</v>
      </c>
      <c r="G46" s="38" t="s">
        <v>425</v>
      </c>
      <c r="H46" s="38" t="s">
        <v>113</v>
      </c>
      <c r="I46" s="38" t="s">
        <v>114</v>
      </c>
      <c r="J46" s="41" t="s">
        <v>426</v>
      </c>
      <c r="K46" s="41"/>
      <c r="L46" s="41"/>
      <c r="M46" s="38" t="s">
        <v>99</v>
      </c>
      <c r="N46" s="43" t="s">
        <v>427</v>
      </c>
      <c r="O46" s="43" t="s">
        <v>428</v>
      </c>
      <c r="P46" s="43" t="s">
        <v>429</v>
      </c>
      <c r="Q46" s="41"/>
      <c r="R46" s="50" t="s">
        <v>430</v>
      </c>
      <c r="S46" s="38" t="s">
        <v>431</v>
      </c>
      <c r="T46" s="38"/>
      <c r="U46" s="38"/>
      <c r="V46" s="52">
        <v>41508</v>
      </c>
      <c r="W46" s="41" t="s">
        <v>432</v>
      </c>
      <c r="X46" s="38" t="s">
        <v>433</v>
      </c>
      <c r="Y46" s="38" t="s">
        <v>52</v>
      </c>
      <c r="Z46" s="38" t="s">
        <v>108</v>
      </c>
      <c r="AA46" s="38" t="s">
        <v>125</v>
      </c>
      <c r="AB46" s="38" t="s">
        <v>434</v>
      </c>
      <c r="AC46" s="45"/>
      <c r="AD46" s="7"/>
      <c r="AE46" s="7"/>
      <c r="AF46" s="46" t="str">
        <f>IF(R46="","",RIGHT(R46,LEN(R46)-FIND("@",R46)))</f>
        <v>gmail.com</v>
      </c>
      <c r="AG46" s="47">
        <f>LEN(R46)-LEN(SUBSTITUTE(R46," ",""))</f>
        <v>0</v>
      </c>
      <c r="AH46" s="46" t="str">
        <f>SUBSTITUTE(R46," ","")</f>
        <v>m.syaifudin1695@gmail.com</v>
      </c>
      <c r="AI46" s="46">
        <f>LEN(AH46)-LEN(SUBSTITUTE(AH46," ",""))</f>
        <v>0</v>
      </c>
    </row>
    <row r="47" spans="1:35" x14ac:dyDescent="0.25">
      <c r="A47" s="36">
        <v>40</v>
      </c>
      <c r="B47" s="53" t="s">
        <v>435</v>
      </c>
      <c r="C47" s="54" t="s">
        <v>436</v>
      </c>
      <c r="D47" s="55">
        <v>31831</v>
      </c>
      <c r="E47" s="54" t="s">
        <v>95</v>
      </c>
      <c r="F47" s="53"/>
      <c r="G47" s="54" t="s">
        <v>437</v>
      </c>
      <c r="H47" s="54"/>
      <c r="I47" s="54"/>
      <c r="J47" s="54" t="s">
        <v>438</v>
      </c>
      <c r="K47" s="54"/>
      <c r="L47" s="54"/>
      <c r="M47" s="54" t="s">
        <v>99</v>
      </c>
      <c r="N47" s="54"/>
      <c r="O47" s="54"/>
      <c r="P47" s="54"/>
      <c r="Q47" s="54" t="s">
        <v>439</v>
      </c>
      <c r="R47" s="57" t="s">
        <v>74</v>
      </c>
      <c r="S47" s="54" t="s">
        <v>440</v>
      </c>
      <c r="T47" s="54"/>
      <c r="U47" s="54"/>
      <c r="V47" s="55">
        <v>41519</v>
      </c>
      <c r="W47" s="54"/>
      <c r="X47" s="54"/>
      <c r="Y47" s="54" t="s">
        <v>85</v>
      </c>
      <c r="Z47" s="54"/>
      <c r="AA47" s="54"/>
      <c r="AB47" s="54"/>
      <c r="AC47" s="58">
        <v>43096</v>
      </c>
      <c r="AD47" s="7"/>
      <c r="AE47" s="7"/>
      <c r="AF47" s="46" t="str">
        <f>IF(R47="","",RIGHT(R47,LEN(R47)-FIND("@",R47)))</f>
        <v/>
      </c>
      <c r="AG47" s="47">
        <f>LEN(R47)-LEN(SUBSTITUTE(R47," ",""))</f>
        <v>0</v>
      </c>
      <c r="AH47" s="46" t="str">
        <f>SUBSTITUTE(R47," ","")</f>
        <v/>
      </c>
      <c r="AI47" s="46">
        <f>LEN(AH47)-LEN(SUBSTITUTE(AH47," ",""))</f>
        <v>0</v>
      </c>
    </row>
    <row r="48" spans="1:35" x14ac:dyDescent="0.25">
      <c r="A48" s="36">
        <v>41</v>
      </c>
      <c r="B48" s="37" t="s">
        <v>441</v>
      </c>
      <c r="C48" s="38" t="s">
        <v>94</v>
      </c>
      <c r="D48" s="39">
        <v>34903</v>
      </c>
      <c r="E48" s="38" t="s">
        <v>95</v>
      </c>
      <c r="F48" s="40" t="s">
        <v>48</v>
      </c>
      <c r="G48" s="38" t="s">
        <v>442</v>
      </c>
      <c r="H48" s="38" t="s">
        <v>72</v>
      </c>
      <c r="I48" s="38" t="s">
        <v>114</v>
      </c>
      <c r="J48" s="40" t="s">
        <v>443</v>
      </c>
      <c r="K48" s="40" t="s">
        <v>444</v>
      </c>
      <c r="L48" s="40"/>
      <c r="M48" s="38" t="s">
        <v>99</v>
      </c>
      <c r="N48" s="40" t="s">
        <v>445</v>
      </c>
      <c r="O48" s="40" t="s">
        <v>76</v>
      </c>
      <c r="P48" s="40" t="s">
        <v>446</v>
      </c>
      <c r="Q48" s="40" t="s">
        <v>447</v>
      </c>
      <c r="R48" s="50" t="s">
        <v>448</v>
      </c>
      <c r="S48" s="38" t="s">
        <v>449</v>
      </c>
      <c r="T48" s="38" t="s">
        <v>450</v>
      </c>
      <c r="U48" s="40" t="s">
        <v>451</v>
      </c>
      <c r="V48" s="52">
        <v>41520</v>
      </c>
      <c r="W48" s="65" t="s">
        <v>452</v>
      </c>
      <c r="X48" s="38" t="s">
        <v>453</v>
      </c>
      <c r="Y48" s="38" t="s">
        <v>52</v>
      </c>
      <c r="Z48" s="38" t="s">
        <v>454</v>
      </c>
      <c r="AA48" s="38" t="s">
        <v>397</v>
      </c>
      <c r="AB48" s="38" t="s">
        <v>55</v>
      </c>
      <c r="AC48" s="45"/>
      <c r="AD48" s="7"/>
      <c r="AE48" s="7"/>
      <c r="AF48" s="46" t="str">
        <f>IF(R48="","",RIGHT(R48,LEN(R48)-FIND("@",R48)))</f>
        <v>gmail.com</v>
      </c>
      <c r="AG48" s="47">
        <f>LEN(R48)-LEN(SUBSTITUTE(R48," ",""))</f>
        <v>0</v>
      </c>
      <c r="AH48" s="46" t="str">
        <f>SUBSTITUTE(R48," ","")</f>
        <v>sukari.urry@gmail.com</v>
      </c>
      <c r="AI48" s="46">
        <f>LEN(AH48)-LEN(SUBSTITUTE(AH48," ",""))</f>
        <v>0</v>
      </c>
    </row>
    <row r="49" spans="1:35" x14ac:dyDescent="0.25">
      <c r="A49" s="36">
        <v>42</v>
      </c>
      <c r="B49" s="37" t="s">
        <v>455</v>
      </c>
      <c r="C49" s="38" t="s">
        <v>328</v>
      </c>
      <c r="D49" s="39">
        <v>34736</v>
      </c>
      <c r="E49" s="38" t="s">
        <v>40</v>
      </c>
      <c r="F49" s="40" t="s">
        <v>48</v>
      </c>
      <c r="G49" s="38" t="s">
        <v>456</v>
      </c>
      <c r="H49" s="38" t="s">
        <v>113</v>
      </c>
      <c r="I49" s="38" t="s">
        <v>114</v>
      </c>
      <c r="J49" s="41" t="s">
        <v>457</v>
      </c>
      <c r="K49" s="41" t="s">
        <v>458</v>
      </c>
      <c r="L49" s="41"/>
      <c r="M49" s="38" t="s">
        <v>99</v>
      </c>
      <c r="N49" s="43" t="s">
        <v>48</v>
      </c>
      <c r="O49" s="43"/>
      <c r="P49" s="41" t="s">
        <v>459</v>
      </c>
      <c r="Q49" s="41" t="s">
        <v>460</v>
      </c>
      <c r="R49" s="50" t="s">
        <v>461</v>
      </c>
      <c r="S49" s="38" t="s">
        <v>462</v>
      </c>
      <c r="T49" s="38" t="s">
        <v>463</v>
      </c>
      <c r="U49" s="38" t="s">
        <v>464</v>
      </c>
      <c r="V49" s="52">
        <v>41523</v>
      </c>
      <c r="W49" s="41" t="s">
        <v>465</v>
      </c>
      <c r="X49" s="38" t="s">
        <v>466</v>
      </c>
      <c r="Y49" s="38" t="s">
        <v>52</v>
      </c>
      <c r="Z49" s="38" t="s">
        <v>416</v>
      </c>
      <c r="AA49" s="38" t="s">
        <v>125</v>
      </c>
      <c r="AB49" s="38" t="s">
        <v>467</v>
      </c>
      <c r="AC49" s="45"/>
      <c r="AD49" s="7"/>
      <c r="AE49" s="7"/>
      <c r="AF49" s="46" t="str">
        <f>IF(R49="","",RIGHT(R49,LEN(R49)-FIND("@",R49)))</f>
        <v>gmail.com</v>
      </c>
      <c r="AG49" s="47">
        <f>LEN(R49)-LEN(SUBSTITUTE(R49," ",""))</f>
        <v>0</v>
      </c>
      <c r="AH49" s="46" t="str">
        <f>SUBSTITUTE(R49," ","")</f>
        <v>wahidaditya95@gmail.com</v>
      </c>
      <c r="AI49" s="46">
        <f>LEN(AH49)-LEN(SUBSTITUTE(AH49," ",""))</f>
        <v>0</v>
      </c>
    </row>
    <row r="50" spans="1:35" x14ac:dyDescent="0.25">
      <c r="A50" s="36">
        <v>43</v>
      </c>
      <c r="B50" s="53" t="s">
        <v>468</v>
      </c>
      <c r="C50" s="54" t="s">
        <v>469</v>
      </c>
      <c r="D50" s="55">
        <v>31740</v>
      </c>
      <c r="E50" s="54" t="s">
        <v>95</v>
      </c>
      <c r="F50" s="54" t="s">
        <v>48</v>
      </c>
      <c r="G50" s="54" t="s">
        <v>470</v>
      </c>
      <c r="H50" s="54" t="s">
        <v>72</v>
      </c>
      <c r="I50" s="54" t="s">
        <v>44</v>
      </c>
      <c r="J50" s="66" t="s">
        <v>471</v>
      </c>
      <c r="K50" s="66" t="s">
        <v>472</v>
      </c>
      <c r="L50" s="66"/>
      <c r="M50" s="54" t="s">
        <v>99</v>
      </c>
      <c r="N50" s="66" t="s">
        <v>473</v>
      </c>
      <c r="O50" s="66"/>
      <c r="P50" s="66" t="s">
        <v>474</v>
      </c>
      <c r="Q50" s="66" t="s">
        <v>475</v>
      </c>
      <c r="R50" s="57" t="s">
        <v>74</v>
      </c>
      <c r="S50" s="54" t="s">
        <v>476</v>
      </c>
      <c r="T50" s="54" t="s">
        <v>209</v>
      </c>
      <c r="U50" s="54" t="s">
        <v>475</v>
      </c>
      <c r="V50" s="55">
        <v>41597</v>
      </c>
      <c r="W50" s="66" t="s">
        <v>477</v>
      </c>
      <c r="X50" s="54" t="s">
        <v>478</v>
      </c>
      <c r="Y50" s="54" t="s">
        <v>85</v>
      </c>
      <c r="Z50" s="54" t="s">
        <v>172</v>
      </c>
      <c r="AA50" s="54" t="s">
        <v>125</v>
      </c>
      <c r="AB50" s="54" t="s">
        <v>193</v>
      </c>
      <c r="AC50" s="58">
        <v>43894</v>
      </c>
      <c r="AD50" s="7"/>
      <c r="AE50" s="7"/>
      <c r="AF50" s="46" t="str">
        <f>IF(R50="","",RIGHT(R50,LEN(R50)-FIND("@",R50)))</f>
        <v/>
      </c>
      <c r="AG50" s="47">
        <f>LEN(R50)-LEN(SUBSTITUTE(R50," ",""))</f>
        <v>0</v>
      </c>
      <c r="AH50" s="46" t="str">
        <f>SUBSTITUTE(R50," ","")</f>
        <v/>
      </c>
      <c r="AI50" s="46">
        <f>LEN(AH50)-LEN(SUBSTITUTE(AH50," ",""))</f>
        <v>0</v>
      </c>
    </row>
    <row r="51" spans="1:35" x14ac:dyDescent="0.25">
      <c r="A51" s="48">
        <v>44</v>
      </c>
      <c r="B51" s="53" t="s">
        <v>479</v>
      </c>
      <c r="C51" s="54" t="s">
        <v>480</v>
      </c>
      <c r="D51" s="55">
        <v>33894</v>
      </c>
      <c r="E51" s="54" t="s">
        <v>40</v>
      </c>
      <c r="F51" s="53"/>
      <c r="G51" s="54" t="s">
        <v>481</v>
      </c>
      <c r="H51" s="54"/>
      <c r="I51" s="54"/>
      <c r="J51" s="54" t="s">
        <v>482</v>
      </c>
      <c r="K51" s="54"/>
      <c r="L51" s="54"/>
      <c r="M51" s="54"/>
      <c r="N51" s="54"/>
      <c r="O51" s="54"/>
      <c r="P51" s="54"/>
      <c r="Q51" s="54" t="s">
        <v>483</v>
      </c>
      <c r="R51" s="57" t="s">
        <v>74</v>
      </c>
      <c r="S51" s="54" t="s">
        <v>484</v>
      </c>
      <c r="T51" s="54"/>
      <c r="U51" s="54"/>
      <c r="V51" s="55">
        <v>41599</v>
      </c>
      <c r="W51" s="54"/>
      <c r="X51" s="54"/>
      <c r="Y51" s="54" t="s">
        <v>85</v>
      </c>
      <c r="Z51" s="54"/>
      <c r="AA51" s="54"/>
      <c r="AB51" s="54"/>
      <c r="AC51" s="58"/>
      <c r="AD51" s="7"/>
      <c r="AE51" s="7"/>
      <c r="AF51" s="46"/>
      <c r="AG51" s="47"/>
      <c r="AH51" s="46"/>
      <c r="AI51" s="46"/>
    </row>
    <row r="52" spans="1:35" x14ac:dyDescent="0.25">
      <c r="A52" s="36">
        <v>45</v>
      </c>
      <c r="B52" s="37" t="s">
        <v>485</v>
      </c>
      <c r="C52" s="38" t="s">
        <v>486</v>
      </c>
      <c r="D52" s="39">
        <v>33596</v>
      </c>
      <c r="E52" s="38" t="s">
        <v>95</v>
      </c>
      <c r="F52" s="40" t="s">
        <v>48</v>
      </c>
      <c r="G52" s="38" t="s">
        <v>487</v>
      </c>
      <c r="H52" s="38" t="s">
        <v>72</v>
      </c>
      <c r="I52" s="38" t="s">
        <v>44</v>
      </c>
      <c r="J52" s="41" t="s">
        <v>488</v>
      </c>
      <c r="K52" s="41" t="s">
        <v>489</v>
      </c>
      <c r="L52" s="67"/>
      <c r="M52" s="38" t="s">
        <v>99</v>
      </c>
      <c r="N52" s="41" t="s">
        <v>490</v>
      </c>
      <c r="O52" s="41" t="s">
        <v>164</v>
      </c>
      <c r="P52" s="41" t="s">
        <v>491</v>
      </c>
      <c r="Q52" s="43" t="s">
        <v>492</v>
      </c>
      <c r="R52" s="50" t="s">
        <v>493</v>
      </c>
      <c r="S52" s="38" t="s">
        <v>494</v>
      </c>
      <c r="T52" s="38" t="s">
        <v>495</v>
      </c>
      <c r="U52" s="40" t="s">
        <v>496</v>
      </c>
      <c r="V52" s="52">
        <v>41610</v>
      </c>
      <c r="W52" s="41" t="s">
        <v>497</v>
      </c>
      <c r="X52" s="38" t="s">
        <v>498</v>
      </c>
      <c r="Y52" s="38" t="s">
        <v>52</v>
      </c>
      <c r="Z52" s="38" t="s">
        <v>499</v>
      </c>
      <c r="AA52" s="38" t="s">
        <v>500</v>
      </c>
      <c r="AB52" s="38" t="s">
        <v>214</v>
      </c>
      <c r="AC52" s="45"/>
      <c r="AD52" s="7"/>
      <c r="AE52" s="7"/>
      <c r="AF52" s="46"/>
      <c r="AG52" s="47"/>
      <c r="AH52" s="46"/>
      <c r="AI52" s="46"/>
    </row>
    <row r="53" spans="1:35" x14ac:dyDescent="0.25">
      <c r="A53" s="36">
        <v>46</v>
      </c>
      <c r="B53" s="53" t="s">
        <v>501</v>
      </c>
      <c r="C53" s="54" t="s">
        <v>502</v>
      </c>
      <c r="D53" s="55">
        <v>34132</v>
      </c>
      <c r="E53" s="54" t="s">
        <v>40</v>
      </c>
      <c r="F53" s="53"/>
      <c r="G53" s="54" t="s">
        <v>503</v>
      </c>
      <c r="H53" s="54"/>
      <c r="I53" s="54"/>
      <c r="J53" s="54" t="s">
        <v>504</v>
      </c>
      <c r="K53" s="54"/>
      <c r="L53" s="54"/>
      <c r="M53" s="54"/>
      <c r="N53" s="54"/>
      <c r="O53" s="54"/>
      <c r="P53" s="54"/>
      <c r="Q53" s="54" t="s">
        <v>505</v>
      </c>
      <c r="R53" s="57" t="s">
        <v>74</v>
      </c>
      <c r="S53" s="54" t="s">
        <v>506</v>
      </c>
      <c r="T53" s="54"/>
      <c r="U53" s="54"/>
      <c r="V53" s="55">
        <v>41610</v>
      </c>
      <c r="W53" s="54"/>
      <c r="X53" s="54"/>
      <c r="Y53" s="54" t="s">
        <v>85</v>
      </c>
      <c r="Z53" s="54"/>
      <c r="AA53" s="54"/>
      <c r="AB53" s="54"/>
      <c r="AC53" s="58">
        <v>42833</v>
      </c>
      <c r="AD53" s="7"/>
      <c r="AE53" s="7"/>
      <c r="AF53" s="46"/>
      <c r="AG53" s="47"/>
      <c r="AH53" s="46"/>
      <c r="AI53" s="46"/>
    </row>
    <row r="54" spans="1:35" x14ac:dyDescent="0.25">
      <c r="A54" s="36">
        <v>47</v>
      </c>
      <c r="B54" s="53" t="s">
        <v>507</v>
      </c>
      <c r="C54" s="54" t="s">
        <v>508</v>
      </c>
      <c r="D54" s="55">
        <v>34497</v>
      </c>
      <c r="E54" s="54" t="s">
        <v>40</v>
      </c>
      <c r="F54" s="54" t="s">
        <v>48</v>
      </c>
      <c r="G54" s="54" t="s">
        <v>509</v>
      </c>
      <c r="H54" s="54" t="s">
        <v>510</v>
      </c>
      <c r="I54" s="54" t="s">
        <v>114</v>
      </c>
      <c r="J54" s="66" t="s">
        <v>511</v>
      </c>
      <c r="K54" s="66" t="s">
        <v>512</v>
      </c>
      <c r="L54" s="66"/>
      <c r="M54" s="54" t="s">
        <v>99</v>
      </c>
      <c r="N54" s="66" t="s">
        <v>513</v>
      </c>
      <c r="O54" s="66" t="s">
        <v>76</v>
      </c>
      <c r="P54" s="66" t="s">
        <v>514</v>
      </c>
      <c r="Q54" s="66" t="s">
        <v>515</v>
      </c>
      <c r="R54" s="57" t="s">
        <v>516</v>
      </c>
      <c r="S54" s="54" t="s">
        <v>517</v>
      </c>
      <c r="T54" s="54" t="s">
        <v>65</v>
      </c>
      <c r="U54" s="54" t="s">
        <v>518</v>
      </c>
      <c r="V54" s="55">
        <v>41613</v>
      </c>
      <c r="W54" s="66" t="s">
        <v>519</v>
      </c>
      <c r="X54" s="54" t="s">
        <v>520</v>
      </c>
      <c r="Y54" s="54" t="s">
        <v>85</v>
      </c>
      <c r="Z54" s="54" t="s">
        <v>108</v>
      </c>
      <c r="AA54" s="54" t="s">
        <v>125</v>
      </c>
      <c r="AB54" s="54" t="s">
        <v>246</v>
      </c>
      <c r="AC54" s="58">
        <v>44011</v>
      </c>
      <c r="AD54" s="7"/>
      <c r="AE54" s="7"/>
      <c r="AF54" s="46" t="str">
        <f>IF(R54="","",RIGHT(R54,LEN(R54)-FIND("@",R54)))</f>
        <v>gmail.com</v>
      </c>
      <c r="AG54" s="47">
        <f>LEN(R54)-LEN(SUBSTITUTE(R54," ",""))</f>
        <v>0</v>
      </c>
      <c r="AH54" s="46" t="str">
        <f>SUBSTITUTE(R54," ","")</f>
        <v>sanymeni042@gmail.com</v>
      </c>
      <c r="AI54" s="46">
        <f>LEN(AH54)-LEN(SUBSTITUTE(AH54," ",""))</f>
        <v>0</v>
      </c>
    </row>
    <row r="55" spans="1:35" x14ac:dyDescent="0.25">
      <c r="A55" s="36">
        <v>48</v>
      </c>
      <c r="B55" s="53" t="s">
        <v>521</v>
      </c>
      <c r="C55" s="54" t="s">
        <v>522</v>
      </c>
      <c r="D55" s="55">
        <v>34724</v>
      </c>
      <c r="E55" s="54" t="s">
        <v>40</v>
      </c>
      <c r="F55" s="53"/>
      <c r="G55" s="54" t="s">
        <v>523</v>
      </c>
      <c r="H55" s="54"/>
      <c r="I55" s="54"/>
      <c r="J55" s="54" t="s">
        <v>524</v>
      </c>
      <c r="K55" s="54"/>
      <c r="L55" s="56"/>
      <c r="M55" s="54"/>
      <c r="N55" s="54"/>
      <c r="O55" s="54"/>
      <c r="P55" s="54"/>
      <c r="Q55" s="54" t="s">
        <v>525</v>
      </c>
      <c r="R55" s="57" t="s">
        <v>74</v>
      </c>
      <c r="S55" s="54" t="s">
        <v>526</v>
      </c>
      <c r="T55" s="54"/>
      <c r="U55" s="54"/>
      <c r="V55" s="55">
        <v>41613</v>
      </c>
      <c r="W55" s="54"/>
      <c r="X55" s="54"/>
      <c r="Y55" s="54" t="s">
        <v>85</v>
      </c>
      <c r="Z55" s="54"/>
      <c r="AA55" s="54"/>
      <c r="AB55" s="54"/>
      <c r="AC55" s="58">
        <v>42705</v>
      </c>
      <c r="AD55" s="7"/>
      <c r="AE55" s="7"/>
      <c r="AF55" s="46"/>
      <c r="AG55" s="47"/>
      <c r="AH55" s="46"/>
      <c r="AI55" s="46"/>
    </row>
    <row r="56" spans="1:35" x14ac:dyDescent="0.25">
      <c r="A56" s="36">
        <v>49</v>
      </c>
      <c r="B56" s="53" t="s">
        <v>527</v>
      </c>
      <c r="C56" s="54" t="s">
        <v>399</v>
      </c>
      <c r="D56" s="55">
        <v>34038</v>
      </c>
      <c r="E56" s="54" t="s">
        <v>40</v>
      </c>
      <c r="F56" s="53"/>
      <c r="G56" s="54" t="s">
        <v>528</v>
      </c>
      <c r="H56" s="54"/>
      <c r="I56" s="54"/>
      <c r="J56" s="54" t="s">
        <v>529</v>
      </c>
      <c r="K56" s="54"/>
      <c r="L56" s="54"/>
      <c r="M56" s="54"/>
      <c r="N56" s="54"/>
      <c r="O56" s="54"/>
      <c r="P56" s="54"/>
      <c r="Q56" s="54" t="s">
        <v>530</v>
      </c>
      <c r="R56" s="57" t="s">
        <v>74</v>
      </c>
      <c r="S56" s="54" t="s">
        <v>531</v>
      </c>
      <c r="T56" s="54"/>
      <c r="U56" s="54"/>
      <c r="V56" s="55">
        <v>41675</v>
      </c>
      <c r="W56" s="54"/>
      <c r="X56" s="54"/>
      <c r="Y56" s="54" t="s">
        <v>85</v>
      </c>
      <c r="Z56" s="54"/>
      <c r="AA56" s="54"/>
      <c r="AB56" s="54"/>
      <c r="AC56" s="58">
        <v>43282</v>
      </c>
      <c r="AD56" s="7"/>
      <c r="AE56" s="7"/>
      <c r="AF56" s="46" t="str">
        <f>IF(R56="","",RIGHT(R56,LEN(R56)-FIND("@",R56)))</f>
        <v/>
      </c>
      <c r="AG56" s="47">
        <f>LEN(R56)-LEN(SUBSTITUTE(R56," ",""))</f>
        <v>0</v>
      </c>
      <c r="AH56" s="46" t="str">
        <f>SUBSTITUTE(R56," ","")</f>
        <v/>
      </c>
      <c r="AI56" s="46">
        <f>LEN(AH56)-LEN(SUBSTITUTE(AH56," ",""))</f>
        <v>0</v>
      </c>
    </row>
    <row r="57" spans="1:35" x14ac:dyDescent="0.25">
      <c r="A57" s="48">
        <v>50</v>
      </c>
      <c r="B57" s="37" t="s">
        <v>532</v>
      </c>
      <c r="C57" s="38" t="s">
        <v>533</v>
      </c>
      <c r="D57" s="39">
        <v>25598</v>
      </c>
      <c r="E57" s="38" t="s">
        <v>40</v>
      </c>
      <c r="F57" s="40" t="s">
        <v>48</v>
      </c>
      <c r="G57" s="38" t="s">
        <v>534</v>
      </c>
      <c r="H57" s="38" t="s">
        <v>72</v>
      </c>
      <c r="I57" s="38" t="s">
        <v>44</v>
      </c>
      <c r="J57" s="41" t="s">
        <v>535</v>
      </c>
      <c r="K57" s="41" t="s">
        <v>536</v>
      </c>
      <c r="L57" s="43" t="s">
        <v>537</v>
      </c>
      <c r="M57" s="38" t="s">
        <v>62</v>
      </c>
      <c r="N57" s="43" t="s">
        <v>538</v>
      </c>
      <c r="O57" s="43" t="s">
        <v>428</v>
      </c>
      <c r="P57" s="41" t="s">
        <v>539</v>
      </c>
      <c r="Q57" s="43" t="s">
        <v>540</v>
      </c>
      <c r="R57" s="50" t="s">
        <v>541</v>
      </c>
      <c r="S57" s="38" t="s">
        <v>542</v>
      </c>
      <c r="T57" s="38" t="s">
        <v>463</v>
      </c>
      <c r="U57" s="40" t="s">
        <v>543</v>
      </c>
      <c r="V57" s="52">
        <v>41690</v>
      </c>
      <c r="W57" s="41" t="s">
        <v>544</v>
      </c>
      <c r="X57" s="38" t="s">
        <v>545</v>
      </c>
      <c r="Y57" s="38" t="s">
        <v>52</v>
      </c>
      <c r="Z57" s="38" t="s">
        <v>108</v>
      </c>
      <c r="AA57" s="38" t="s">
        <v>125</v>
      </c>
      <c r="AB57" s="38" t="s">
        <v>546</v>
      </c>
      <c r="AC57" s="45"/>
      <c r="AD57" s="7"/>
      <c r="AE57" s="7"/>
      <c r="AF57" s="46"/>
      <c r="AG57" s="47"/>
      <c r="AH57" s="46"/>
      <c r="AI57" s="46"/>
    </row>
    <row r="58" spans="1:35" x14ac:dyDescent="0.25">
      <c r="A58" s="36">
        <v>51</v>
      </c>
      <c r="B58" s="53" t="s">
        <v>547</v>
      </c>
      <c r="C58" s="54" t="s">
        <v>548</v>
      </c>
      <c r="D58" s="55">
        <v>34506</v>
      </c>
      <c r="E58" s="54" t="s">
        <v>40</v>
      </c>
      <c r="F58" s="53"/>
      <c r="G58" s="54" t="s">
        <v>549</v>
      </c>
      <c r="H58" s="54"/>
      <c r="I58" s="54"/>
      <c r="J58" s="54" t="s">
        <v>550</v>
      </c>
      <c r="K58" s="54"/>
      <c r="L58" s="54"/>
      <c r="M58" s="54"/>
      <c r="N58" s="54"/>
      <c r="O58" s="54"/>
      <c r="P58" s="54"/>
      <c r="Q58" s="54" t="s">
        <v>551</v>
      </c>
      <c r="R58" s="57" t="s">
        <v>74</v>
      </c>
      <c r="S58" s="54" t="s">
        <v>552</v>
      </c>
      <c r="T58" s="54"/>
      <c r="U58" s="54"/>
      <c r="V58" s="55">
        <v>41699</v>
      </c>
      <c r="W58" s="54"/>
      <c r="X58" s="54"/>
      <c r="Y58" s="54" t="s">
        <v>85</v>
      </c>
      <c r="Z58" s="54"/>
      <c r="AA58" s="54"/>
      <c r="AB58" s="54"/>
      <c r="AC58" s="58"/>
      <c r="AD58" s="7"/>
      <c r="AE58" s="7"/>
      <c r="AF58" s="46"/>
      <c r="AG58" s="47"/>
      <c r="AH58" s="46"/>
      <c r="AI58" s="46"/>
    </row>
    <row r="59" spans="1:35" x14ac:dyDescent="0.25">
      <c r="A59" s="36">
        <v>52</v>
      </c>
      <c r="B59" s="37" t="s">
        <v>553</v>
      </c>
      <c r="C59" s="38" t="s">
        <v>554</v>
      </c>
      <c r="D59" s="39">
        <v>33563</v>
      </c>
      <c r="E59" s="38" t="s">
        <v>40</v>
      </c>
      <c r="F59" s="40" t="s">
        <v>48</v>
      </c>
      <c r="G59" s="38" t="s">
        <v>555</v>
      </c>
      <c r="H59" s="38" t="s">
        <v>72</v>
      </c>
      <c r="I59" s="38" t="s">
        <v>44</v>
      </c>
      <c r="J59" s="41" t="s">
        <v>556</v>
      </c>
      <c r="K59" s="41" t="s">
        <v>557</v>
      </c>
      <c r="L59" s="41"/>
      <c r="M59" s="38" t="s">
        <v>62</v>
      </c>
      <c r="N59" s="41" t="s">
        <v>558</v>
      </c>
      <c r="O59" s="41" t="s">
        <v>428</v>
      </c>
      <c r="P59" s="41" t="s">
        <v>559</v>
      </c>
      <c r="Q59" s="41" t="s">
        <v>560</v>
      </c>
      <c r="R59" s="50" t="s">
        <v>561</v>
      </c>
      <c r="S59" s="38" t="s">
        <v>562</v>
      </c>
      <c r="T59" s="38" t="s">
        <v>563</v>
      </c>
      <c r="U59" s="38">
        <v>83114826573</v>
      </c>
      <c r="V59" s="52">
        <v>41731</v>
      </c>
      <c r="W59" s="41" t="s">
        <v>564</v>
      </c>
      <c r="X59" s="38" t="s">
        <v>565</v>
      </c>
      <c r="Y59" s="38" t="s">
        <v>52</v>
      </c>
      <c r="Z59" s="38" t="s">
        <v>108</v>
      </c>
      <c r="AA59" s="38" t="s">
        <v>125</v>
      </c>
      <c r="AB59" s="38" t="s">
        <v>566</v>
      </c>
      <c r="AC59" s="45"/>
      <c r="AD59" s="7"/>
      <c r="AE59" s="7"/>
      <c r="AF59" s="46" t="str">
        <f>IF(R59="","",RIGHT(R59,LEN(R59)-FIND("@",R59)))</f>
        <v>yahoo.com</v>
      </c>
      <c r="AG59" s="47">
        <f>LEN(R59)-LEN(SUBSTITUTE(R59," ",""))</f>
        <v>0</v>
      </c>
      <c r="AH59" s="46" t="str">
        <f>SUBSTITUTE(R59," ","")</f>
        <v>the_becool@yahoo.com</v>
      </c>
      <c r="AI59" s="46">
        <f>LEN(AH59)-LEN(SUBSTITUTE(AH59," ",""))</f>
        <v>0</v>
      </c>
    </row>
    <row r="60" spans="1:35" x14ac:dyDescent="0.25">
      <c r="A60" s="36">
        <v>53</v>
      </c>
      <c r="B60" s="53" t="s">
        <v>567</v>
      </c>
      <c r="C60" s="54" t="s">
        <v>568</v>
      </c>
      <c r="D60" s="55">
        <v>29917</v>
      </c>
      <c r="E60" s="54" t="s">
        <v>95</v>
      </c>
      <c r="F60" s="53"/>
      <c r="G60" s="54" t="s">
        <v>569</v>
      </c>
      <c r="H60" s="54"/>
      <c r="I60" s="54"/>
      <c r="J60" s="54" t="s">
        <v>570</v>
      </c>
      <c r="K60" s="54"/>
      <c r="L60" s="54"/>
      <c r="M60" s="54" t="s">
        <v>99</v>
      </c>
      <c r="N60" s="54"/>
      <c r="O60" s="54"/>
      <c r="P60" s="54"/>
      <c r="Q60" s="54" t="s">
        <v>571</v>
      </c>
      <c r="R60" s="57" t="s">
        <v>74</v>
      </c>
      <c r="S60" s="54" t="s">
        <v>572</v>
      </c>
      <c r="T60" s="54"/>
      <c r="U60" s="54" t="s">
        <v>573</v>
      </c>
      <c r="V60" s="55">
        <v>41792</v>
      </c>
      <c r="W60" s="54"/>
      <c r="X60" s="54"/>
      <c r="Y60" s="54" t="s">
        <v>85</v>
      </c>
      <c r="Z60" s="54"/>
      <c r="AA60" s="54"/>
      <c r="AB60" s="54"/>
      <c r="AC60" s="58">
        <v>43686</v>
      </c>
      <c r="AD60" s="7"/>
      <c r="AE60" s="7"/>
      <c r="AF60" s="46"/>
      <c r="AG60" s="47"/>
      <c r="AH60" s="46"/>
      <c r="AI60" s="46"/>
    </row>
    <row r="61" spans="1:35" x14ac:dyDescent="0.25">
      <c r="A61" s="36">
        <v>54</v>
      </c>
      <c r="B61" s="53" t="s">
        <v>574</v>
      </c>
      <c r="C61" s="54" t="s">
        <v>94</v>
      </c>
      <c r="D61" s="55">
        <v>35139</v>
      </c>
      <c r="E61" s="54" t="s">
        <v>95</v>
      </c>
      <c r="F61" s="53"/>
      <c r="G61" s="54" t="s">
        <v>575</v>
      </c>
      <c r="H61" s="54"/>
      <c r="I61" s="54"/>
      <c r="J61" s="54" t="s">
        <v>576</v>
      </c>
      <c r="K61" s="54"/>
      <c r="L61" s="54"/>
      <c r="M61" s="54" t="s">
        <v>99</v>
      </c>
      <c r="N61" s="54"/>
      <c r="O61" s="54"/>
      <c r="P61" s="54"/>
      <c r="Q61" s="54" t="s">
        <v>577</v>
      </c>
      <c r="R61" s="57" t="s">
        <v>74</v>
      </c>
      <c r="S61" s="54" t="s">
        <v>578</v>
      </c>
      <c r="T61" s="54"/>
      <c r="U61" s="54"/>
      <c r="V61" s="55">
        <v>41821</v>
      </c>
      <c r="W61" s="54"/>
      <c r="X61" s="54"/>
      <c r="Y61" s="54" t="s">
        <v>85</v>
      </c>
      <c r="Z61" s="54"/>
      <c r="AA61" s="54"/>
      <c r="AB61" s="54"/>
      <c r="AC61" s="58">
        <v>42819</v>
      </c>
      <c r="AD61" s="7"/>
      <c r="AE61" s="7"/>
      <c r="AF61" s="46"/>
      <c r="AG61" s="47"/>
      <c r="AH61" s="46"/>
      <c r="AI61" s="46"/>
    </row>
    <row r="62" spans="1:35" x14ac:dyDescent="0.25">
      <c r="A62" s="36">
        <v>55</v>
      </c>
      <c r="B62" s="53" t="s">
        <v>579</v>
      </c>
      <c r="C62" s="54" t="s">
        <v>328</v>
      </c>
      <c r="D62" s="55">
        <v>35234</v>
      </c>
      <c r="E62" s="54" t="s">
        <v>40</v>
      </c>
      <c r="F62" s="53"/>
      <c r="G62" s="54" t="s">
        <v>580</v>
      </c>
      <c r="H62" s="54"/>
      <c r="I62" s="54"/>
      <c r="J62" s="54" t="s">
        <v>581</v>
      </c>
      <c r="K62" s="54"/>
      <c r="L62" s="54"/>
      <c r="M62" s="54"/>
      <c r="N62" s="54"/>
      <c r="O62" s="54"/>
      <c r="P62" s="54"/>
      <c r="Q62" s="54" t="s">
        <v>582</v>
      </c>
      <c r="R62" s="57" t="s">
        <v>74</v>
      </c>
      <c r="S62" s="54" t="s">
        <v>583</v>
      </c>
      <c r="T62" s="54"/>
      <c r="U62" s="54" t="s">
        <v>584</v>
      </c>
      <c r="V62" s="55">
        <v>41895</v>
      </c>
      <c r="W62" s="54"/>
      <c r="X62" s="54"/>
      <c r="Y62" s="54" t="s">
        <v>85</v>
      </c>
      <c r="Z62" s="54"/>
      <c r="AA62" s="54"/>
      <c r="AB62" s="54"/>
      <c r="AC62" s="58">
        <v>43406</v>
      </c>
      <c r="AD62" s="7"/>
      <c r="AE62" s="7"/>
      <c r="AF62" s="46" t="str">
        <f>IF(R62="","",RIGHT(R62,LEN(R62)-FIND("@",R62)))</f>
        <v/>
      </c>
      <c r="AG62" s="47">
        <f>LEN(R62)-LEN(SUBSTITUTE(R62," ",""))</f>
        <v>0</v>
      </c>
      <c r="AH62" s="46" t="str">
        <f>SUBSTITUTE(R62," ","")</f>
        <v/>
      </c>
      <c r="AI62" s="46">
        <f>LEN(AH62)-LEN(SUBSTITUTE(AH62," ",""))</f>
        <v>0</v>
      </c>
    </row>
    <row r="63" spans="1:35" x14ac:dyDescent="0.25">
      <c r="A63" s="48">
        <v>56</v>
      </c>
      <c r="B63" s="53" t="s">
        <v>585</v>
      </c>
      <c r="C63" s="54" t="s">
        <v>548</v>
      </c>
      <c r="D63" s="55">
        <v>35211</v>
      </c>
      <c r="E63" s="54" t="s">
        <v>40</v>
      </c>
      <c r="F63" s="53"/>
      <c r="G63" s="54" t="s">
        <v>586</v>
      </c>
      <c r="H63" s="54"/>
      <c r="I63" s="54"/>
      <c r="J63" s="54" t="s">
        <v>587</v>
      </c>
      <c r="K63" s="54"/>
      <c r="L63" s="54"/>
      <c r="M63" s="54"/>
      <c r="N63" s="54"/>
      <c r="O63" s="54"/>
      <c r="P63" s="54"/>
      <c r="Q63" s="54" t="s">
        <v>588</v>
      </c>
      <c r="R63" s="57" t="s">
        <v>74</v>
      </c>
      <c r="S63" s="54" t="s">
        <v>589</v>
      </c>
      <c r="T63" s="54"/>
      <c r="U63" s="54"/>
      <c r="V63" s="55">
        <v>41901</v>
      </c>
      <c r="W63" s="54"/>
      <c r="X63" s="54"/>
      <c r="Y63" s="54" t="s">
        <v>85</v>
      </c>
      <c r="Z63" s="54"/>
      <c r="AA63" s="54"/>
      <c r="AB63" s="54"/>
      <c r="AC63" s="58">
        <v>42675</v>
      </c>
      <c r="AD63" s="7"/>
      <c r="AE63" s="7"/>
      <c r="AF63" s="46" t="str">
        <f>IF(R63="","",RIGHT(R63,LEN(R63)-FIND("@",R63)))</f>
        <v/>
      </c>
      <c r="AG63" s="47">
        <f>LEN(R63)-LEN(SUBSTITUTE(R63," ",""))</f>
        <v>0</v>
      </c>
      <c r="AH63" s="46" t="str">
        <f>SUBSTITUTE(R63," ","")</f>
        <v/>
      </c>
      <c r="AI63" s="46">
        <f>LEN(AH63)-LEN(SUBSTITUTE(AH63," ",""))</f>
        <v>0</v>
      </c>
    </row>
    <row r="64" spans="1:35" x14ac:dyDescent="0.25">
      <c r="A64" s="36">
        <v>57</v>
      </c>
      <c r="B64" s="53" t="s">
        <v>590</v>
      </c>
      <c r="C64" s="54" t="s">
        <v>195</v>
      </c>
      <c r="D64" s="55">
        <v>33759</v>
      </c>
      <c r="E64" s="54" t="s">
        <v>95</v>
      </c>
      <c r="F64" s="53"/>
      <c r="G64" s="54" t="s">
        <v>591</v>
      </c>
      <c r="H64" s="54"/>
      <c r="I64" s="54"/>
      <c r="J64" s="54" t="s">
        <v>592</v>
      </c>
      <c r="K64" s="54"/>
      <c r="L64" s="54"/>
      <c r="M64" s="54" t="s">
        <v>99</v>
      </c>
      <c r="N64" s="54"/>
      <c r="O64" s="54"/>
      <c r="P64" s="54"/>
      <c r="Q64" s="54" t="s">
        <v>593</v>
      </c>
      <c r="R64" s="57" t="s">
        <v>74</v>
      </c>
      <c r="S64" s="54" t="s">
        <v>594</v>
      </c>
      <c r="T64" s="54"/>
      <c r="U64" s="54"/>
      <c r="V64" s="55">
        <v>41913</v>
      </c>
      <c r="W64" s="54"/>
      <c r="X64" s="54"/>
      <c r="Y64" s="54" t="s">
        <v>85</v>
      </c>
      <c r="Z64" s="54"/>
      <c r="AA64" s="54"/>
      <c r="AB64" s="54"/>
      <c r="AC64" s="58">
        <v>42644</v>
      </c>
      <c r="AD64" s="7"/>
      <c r="AE64" s="7"/>
      <c r="AF64" s="46"/>
      <c r="AG64" s="47"/>
      <c r="AH64" s="46"/>
      <c r="AI64" s="46"/>
    </row>
    <row r="65" spans="1:35" x14ac:dyDescent="0.25">
      <c r="A65" s="36">
        <v>58</v>
      </c>
      <c r="B65" s="37" t="s">
        <v>595</v>
      </c>
      <c r="C65" s="38" t="s">
        <v>548</v>
      </c>
      <c r="D65" s="39">
        <v>34622</v>
      </c>
      <c r="E65" s="38" t="s">
        <v>95</v>
      </c>
      <c r="F65" s="40" t="s">
        <v>48</v>
      </c>
      <c r="G65" s="38" t="s">
        <v>596</v>
      </c>
      <c r="H65" s="38" t="s">
        <v>113</v>
      </c>
      <c r="I65" s="38" t="s">
        <v>44</v>
      </c>
      <c r="J65" s="41" t="s">
        <v>597</v>
      </c>
      <c r="K65" s="41"/>
      <c r="L65" s="43"/>
      <c r="M65" s="38" t="s">
        <v>99</v>
      </c>
      <c r="N65" s="43" t="s">
        <v>598</v>
      </c>
      <c r="O65" s="43" t="s">
        <v>428</v>
      </c>
      <c r="P65" s="43" t="s">
        <v>599</v>
      </c>
      <c r="Q65" s="41" t="s">
        <v>74</v>
      </c>
      <c r="R65" s="50" t="s">
        <v>600</v>
      </c>
      <c r="S65" s="38" t="s">
        <v>601</v>
      </c>
      <c r="T65" s="38"/>
      <c r="U65" s="38"/>
      <c r="V65" s="52">
        <v>41962</v>
      </c>
      <c r="W65" s="41" t="s">
        <v>602</v>
      </c>
      <c r="X65" s="38" t="s">
        <v>603</v>
      </c>
      <c r="Y65" s="38" t="s">
        <v>52</v>
      </c>
      <c r="Z65" s="38" t="s">
        <v>396</v>
      </c>
      <c r="AA65" s="38" t="s">
        <v>109</v>
      </c>
      <c r="AB65" s="38" t="s">
        <v>55</v>
      </c>
      <c r="AC65" s="45"/>
      <c r="AD65" s="7"/>
      <c r="AE65" s="7"/>
      <c r="AF65" s="46"/>
      <c r="AG65" s="47"/>
      <c r="AH65" s="46"/>
      <c r="AI65" s="46"/>
    </row>
    <row r="66" spans="1:35" x14ac:dyDescent="0.25">
      <c r="A66" s="36">
        <v>59</v>
      </c>
      <c r="B66" s="53" t="s">
        <v>604</v>
      </c>
      <c r="C66" s="54" t="s">
        <v>605</v>
      </c>
      <c r="D66" s="55">
        <v>35850</v>
      </c>
      <c r="E66" s="54" t="s">
        <v>40</v>
      </c>
      <c r="F66" s="54" t="s">
        <v>129</v>
      </c>
      <c r="G66" s="54" t="s">
        <v>606</v>
      </c>
      <c r="H66" s="54" t="s">
        <v>72</v>
      </c>
      <c r="I66" s="54" t="s">
        <v>44</v>
      </c>
      <c r="J66" s="68" t="s">
        <v>607</v>
      </c>
      <c r="K66" s="68" t="s">
        <v>608</v>
      </c>
      <c r="L66" s="68"/>
      <c r="M66" s="54" t="s">
        <v>47</v>
      </c>
      <c r="N66" s="66" t="s">
        <v>609</v>
      </c>
      <c r="O66" s="66"/>
      <c r="P66" s="66" t="s">
        <v>610</v>
      </c>
      <c r="Q66" s="68" t="s">
        <v>611</v>
      </c>
      <c r="R66" s="57" t="s">
        <v>74</v>
      </c>
      <c r="S66" s="54" t="s">
        <v>612</v>
      </c>
      <c r="T66" s="54" t="s">
        <v>613</v>
      </c>
      <c r="U66" s="69" t="s">
        <v>614</v>
      </c>
      <c r="V66" s="55">
        <v>41988</v>
      </c>
      <c r="W66" s="66" t="s">
        <v>615</v>
      </c>
      <c r="X66" s="54" t="s">
        <v>616</v>
      </c>
      <c r="Y66" s="54" t="s">
        <v>85</v>
      </c>
      <c r="Z66" s="54" t="s">
        <v>416</v>
      </c>
      <c r="AA66" s="54" t="s">
        <v>125</v>
      </c>
      <c r="AB66" s="54" t="s">
        <v>546</v>
      </c>
      <c r="AC66" s="58">
        <v>43951</v>
      </c>
      <c r="AD66" s="7"/>
      <c r="AE66" s="7"/>
      <c r="AF66" s="46" t="str">
        <f>IF(R66="","",RIGHT(R66,LEN(R66)-FIND("@",R66)))</f>
        <v/>
      </c>
      <c r="AG66" s="47">
        <f>LEN(R66)-LEN(SUBSTITUTE(R66," ",""))</f>
        <v>0</v>
      </c>
      <c r="AH66" s="46" t="str">
        <f>SUBSTITUTE(R66," ","")</f>
        <v/>
      </c>
      <c r="AI66" s="46">
        <f>LEN(AH66)-LEN(SUBSTITUTE(AH66," ",""))</f>
        <v>0</v>
      </c>
    </row>
    <row r="67" spans="1:35" x14ac:dyDescent="0.25">
      <c r="A67" s="36">
        <v>60</v>
      </c>
      <c r="B67" s="53" t="s">
        <v>617</v>
      </c>
      <c r="C67" s="54" t="s">
        <v>618</v>
      </c>
      <c r="D67" s="55">
        <v>35020</v>
      </c>
      <c r="E67" s="54" t="s">
        <v>95</v>
      </c>
      <c r="F67" s="53"/>
      <c r="G67" s="54" t="s">
        <v>619</v>
      </c>
      <c r="H67" s="54"/>
      <c r="I67" s="54"/>
      <c r="J67" s="54" t="s">
        <v>620</v>
      </c>
      <c r="K67" s="54"/>
      <c r="L67" s="54"/>
      <c r="M67" s="54" t="s">
        <v>99</v>
      </c>
      <c r="N67" s="54"/>
      <c r="O67" s="54"/>
      <c r="P67" s="54"/>
      <c r="Q67" s="54" t="s">
        <v>621</v>
      </c>
      <c r="R67" s="57" t="s">
        <v>74</v>
      </c>
      <c r="S67" s="54" t="s">
        <v>622</v>
      </c>
      <c r="T67" s="54"/>
      <c r="U67" s="54"/>
      <c r="V67" s="55">
        <v>41995</v>
      </c>
      <c r="W67" s="54"/>
      <c r="X67" s="54"/>
      <c r="Y67" s="54" t="s">
        <v>85</v>
      </c>
      <c r="Z67" s="54"/>
      <c r="AA67" s="54"/>
      <c r="AB67" s="54"/>
      <c r="AC67" s="58">
        <v>42948</v>
      </c>
      <c r="AD67" s="7"/>
      <c r="AE67" s="7"/>
      <c r="AF67" s="46" t="str">
        <f>IF(R67="","",RIGHT(R67,LEN(R67)-FIND("@",R67)))</f>
        <v/>
      </c>
      <c r="AG67" s="47">
        <f>LEN(R67)-LEN(SUBSTITUTE(R67," ",""))</f>
        <v>0</v>
      </c>
      <c r="AH67" s="46" t="str">
        <f>SUBSTITUTE(R67," ","")</f>
        <v/>
      </c>
      <c r="AI67" s="46">
        <f>LEN(AH67)-LEN(SUBSTITUTE(AH67," ",""))</f>
        <v>0</v>
      </c>
    </row>
    <row r="68" spans="1:35" x14ac:dyDescent="0.25">
      <c r="A68" s="36">
        <v>61</v>
      </c>
      <c r="B68" s="53" t="s">
        <v>623</v>
      </c>
      <c r="C68" s="54" t="s">
        <v>284</v>
      </c>
      <c r="D68" s="55">
        <v>33967</v>
      </c>
      <c r="E68" s="54" t="s">
        <v>40</v>
      </c>
      <c r="F68" s="53"/>
      <c r="G68" s="54" t="s">
        <v>624</v>
      </c>
      <c r="H68" s="54"/>
      <c r="I68" s="54"/>
      <c r="J68" s="54" t="s">
        <v>625</v>
      </c>
      <c r="K68" s="54"/>
      <c r="L68" s="54"/>
      <c r="M68" s="54"/>
      <c r="N68" s="54"/>
      <c r="O68" s="54"/>
      <c r="P68" s="54"/>
      <c r="Q68" s="54" t="s">
        <v>626</v>
      </c>
      <c r="R68" s="57" t="s">
        <v>74</v>
      </c>
      <c r="S68" s="54" t="s">
        <v>627</v>
      </c>
      <c r="T68" s="54"/>
      <c r="U68" s="54"/>
      <c r="V68" s="55">
        <v>41995</v>
      </c>
      <c r="W68" s="54"/>
      <c r="X68" s="54"/>
      <c r="Y68" s="54" t="s">
        <v>85</v>
      </c>
      <c r="Z68" s="54"/>
      <c r="AA68" s="54"/>
      <c r="AB68" s="54"/>
      <c r="AC68" s="58"/>
      <c r="AD68" s="7"/>
      <c r="AE68" s="7"/>
      <c r="AF68" s="46"/>
      <c r="AG68" s="47"/>
      <c r="AH68" s="46"/>
      <c r="AI68" s="46"/>
    </row>
    <row r="69" spans="1:35" x14ac:dyDescent="0.25">
      <c r="A69" s="48">
        <v>62</v>
      </c>
      <c r="B69" s="53" t="s">
        <v>628</v>
      </c>
      <c r="C69" s="54" t="s">
        <v>548</v>
      </c>
      <c r="D69" s="55">
        <v>33891</v>
      </c>
      <c r="E69" s="54" t="s">
        <v>40</v>
      </c>
      <c r="F69" s="69" t="s">
        <v>48</v>
      </c>
      <c r="G69" s="54" t="s">
        <v>629</v>
      </c>
      <c r="H69" s="54" t="s">
        <v>113</v>
      </c>
      <c r="I69" s="54" t="s">
        <v>44</v>
      </c>
      <c r="J69" s="66" t="s">
        <v>630</v>
      </c>
      <c r="K69" s="66" t="s">
        <v>631</v>
      </c>
      <c r="L69" s="66"/>
      <c r="M69" s="54" t="s">
        <v>632</v>
      </c>
      <c r="N69" s="68" t="s">
        <v>633</v>
      </c>
      <c r="O69" s="68" t="s">
        <v>428</v>
      </c>
      <c r="P69" s="66" t="s">
        <v>634</v>
      </c>
      <c r="Q69" s="66" t="s">
        <v>635</v>
      </c>
      <c r="R69" s="57" t="s">
        <v>636</v>
      </c>
      <c r="S69" s="54" t="s">
        <v>637</v>
      </c>
      <c r="T69" s="54" t="s">
        <v>152</v>
      </c>
      <c r="U69" s="54" t="s">
        <v>638</v>
      </c>
      <c r="V69" s="55">
        <v>42006</v>
      </c>
      <c r="W69" s="66" t="s">
        <v>639</v>
      </c>
      <c r="X69" s="54" t="s">
        <v>640</v>
      </c>
      <c r="Y69" s="54" t="s">
        <v>85</v>
      </c>
      <c r="Z69" s="54" t="s">
        <v>108</v>
      </c>
      <c r="AA69" s="54" t="s">
        <v>125</v>
      </c>
      <c r="AB69" s="54" t="s">
        <v>641</v>
      </c>
      <c r="AC69" s="58">
        <v>44005</v>
      </c>
      <c r="AD69" s="7"/>
      <c r="AE69" s="7"/>
      <c r="AF69" s="46" t="str">
        <f t="shared" ref="AF69:AF75" si="0">IF(R69="","",RIGHT(R69,LEN(R69)-FIND("@",R69)))</f>
        <v>gmail.com</v>
      </c>
      <c r="AG69" s="47">
        <f t="shared" ref="AG69:AG75" si="1">LEN(R69)-LEN(SUBSTITUTE(R69," ",""))</f>
        <v>0</v>
      </c>
      <c r="AH69" s="46" t="str">
        <f t="shared" ref="AH69:AH75" si="2">SUBSTITUTE(R69," ","")</f>
        <v>kikihanaki@gmail.com</v>
      </c>
      <c r="AI69" s="46">
        <f t="shared" ref="AI69:AI75" si="3">LEN(AH69)-LEN(SUBSTITUTE(AH69," ",""))</f>
        <v>0</v>
      </c>
    </row>
    <row r="70" spans="1:35" x14ac:dyDescent="0.25">
      <c r="A70" s="36">
        <v>63</v>
      </c>
      <c r="B70" s="53" t="s">
        <v>642</v>
      </c>
      <c r="C70" s="54" t="s">
        <v>643</v>
      </c>
      <c r="D70" s="55">
        <v>34883</v>
      </c>
      <c r="E70" s="54" t="s">
        <v>40</v>
      </c>
      <c r="F70" s="53"/>
      <c r="G70" s="54" t="s">
        <v>644</v>
      </c>
      <c r="H70" s="54"/>
      <c r="I70" s="54"/>
      <c r="J70" s="54" t="s">
        <v>645</v>
      </c>
      <c r="K70" s="54"/>
      <c r="L70" s="54"/>
      <c r="M70" s="54"/>
      <c r="N70" s="54"/>
      <c r="O70" s="54"/>
      <c r="P70" s="54"/>
      <c r="Q70" s="54" t="s">
        <v>646</v>
      </c>
      <c r="R70" s="57" t="s">
        <v>74</v>
      </c>
      <c r="S70" s="54" t="s">
        <v>647</v>
      </c>
      <c r="T70" s="54"/>
      <c r="U70" s="54"/>
      <c r="V70" s="55">
        <v>42025</v>
      </c>
      <c r="W70" s="54"/>
      <c r="X70" s="54"/>
      <c r="Y70" s="54" t="s">
        <v>85</v>
      </c>
      <c r="Z70" s="54"/>
      <c r="AA70" s="54"/>
      <c r="AB70" s="54"/>
      <c r="AC70" s="58">
        <v>42887</v>
      </c>
      <c r="AD70" s="7"/>
      <c r="AE70" s="7"/>
      <c r="AF70" s="46" t="str">
        <f t="shared" si="0"/>
        <v/>
      </c>
      <c r="AG70" s="47">
        <f t="shared" si="1"/>
        <v>0</v>
      </c>
      <c r="AH70" s="46" t="str">
        <f t="shared" si="2"/>
        <v/>
      </c>
      <c r="AI70" s="46">
        <f t="shared" si="3"/>
        <v>0</v>
      </c>
    </row>
    <row r="71" spans="1:35" x14ac:dyDescent="0.25">
      <c r="A71" s="36">
        <v>64</v>
      </c>
      <c r="B71" s="53" t="s">
        <v>648</v>
      </c>
      <c r="C71" s="54" t="s">
        <v>649</v>
      </c>
      <c r="D71" s="55">
        <v>33076</v>
      </c>
      <c r="E71" s="54" t="s">
        <v>40</v>
      </c>
      <c r="F71" s="53"/>
      <c r="G71" s="54" t="s">
        <v>650</v>
      </c>
      <c r="H71" s="54"/>
      <c r="I71" s="54"/>
      <c r="J71" s="54" t="s">
        <v>651</v>
      </c>
      <c r="K71" s="54"/>
      <c r="L71" s="54"/>
      <c r="M71" s="54"/>
      <c r="N71" s="54"/>
      <c r="O71" s="54"/>
      <c r="P71" s="54"/>
      <c r="Q71" s="54" t="s">
        <v>652</v>
      </c>
      <c r="R71" s="57" t="s">
        <v>74</v>
      </c>
      <c r="S71" s="54" t="s">
        <v>653</v>
      </c>
      <c r="T71" s="54"/>
      <c r="U71" s="54"/>
      <c r="V71" s="55">
        <v>42045</v>
      </c>
      <c r="W71" s="54"/>
      <c r="X71" s="54"/>
      <c r="Y71" s="54" t="s">
        <v>85</v>
      </c>
      <c r="Z71" s="54"/>
      <c r="AA71" s="54"/>
      <c r="AB71" s="54"/>
      <c r="AC71" s="58"/>
      <c r="AD71" s="7"/>
      <c r="AE71" s="7"/>
      <c r="AF71" s="46" t="str">
        <f t="shared" si="0"/>
        <v/>
      </c>
      <c r="AG71" s="47">
        <f t="shared" si="1"/>
        <v>0</v>
      </c>
      <c r="AH71" s="46" t="str">
        <f t="shared" si="2"/>
        <v/>
      </c>
      <c r="AI71" s="46">
        <f t="shared" si="3"/>
        <v>0</v>
      </c>
    </row>
    <row r="72" spans="1:35" x14ac:dyDescent="0.25">
      <c r="A72" s="36">
        <v>65</v>
      </c>
      <c r="B72" s="37" t="s">
        <v>654</v>
      </c>
      <c r="C72" s="38" t="s">
        <v>554</v>
      </c>
      <c r="D72" s="39">
        <v>33909</v>
      </c>
      <c r="E72" s="38" t="s">
        <v>40</v>
      </c>
      <c r="F72" s="38" t="s">
        <v>129</v>
      </c>
      <c r="G72" s="38" t="s">
        <v>655</v>
      </c>
      <c r="H72" s="38" t="s">
        <v>72</v>
      </c>
      <c r="I72" s="38" t="s">
        <v>44</v>
      </c>
      <c r="J72" s="41" t="s">
        <v>656</v>
      </c>
      <c r="K72" s="41" t="s">
        <v>657</v>
      </c>
      <c r="L72" s="41"/>
      <c r="M72" s="38" t="s">
        <v>133</v>
      </c>
      <c r="N72" s="41" t="s">
        <v>658</v>
      </c>
      <c r="O72" s="41" t="s">
        <v>164</v>
      </c>
      <c r="P72" s="41" t="s">
        <v>659</v>
      </c>
      <c r="Q72" s="41" t="s">
        <v>660</v>
      </c>
      <c r="R72" s="50" t="s">
        <v>661</v>
      </c>
      <c r="S72" s="38" t="s">
        <v>662</v>
      </c>
      <c r="T72" s="37" t="s">
        <v>663</v>
      </c>
      <c r="U72" s="38" t="s">
        <v>664</v>
      </c>
      <c r="V72" s="52">
        <v>42051</v>
      </c>
      <c r="W72" s="41" t="s">
        <v>665</v>
      </c>
      <c r="X72" s="38" t="s">
        <v>666</v>
      </c>
      <c r="Y72" s="38" t="s">
        <v>52</v>
      </c>
      <c r="Z72" s="38" t="s">
        <v>108</v>
      </c>
      <c r="AA72" s="38" t="s">
        <v>125</v>
      </c>
      <c r="AB72" s="38" t="s">
        <v>467</v>
      </c>
      <c r="AC72" s="45"/>
      <c r="AD72" s="7"/>
      <c r="AE72" s="7"/>
      <c r="AF72" s="46" t="str">
        <f t="shared" si="0"/>
        <v>gmail.com</v>
      </c>
      <c r="AG72" s="47">
        <f t="shared" si="1"/>
        <v>0</v>
      </c>
      <c r="AH72" s="46" t="str">
        <f t="shared" si="2"/>
        <v>dewasuradityawan@gmail.com</v>
      </c>
      <c r="AI72" s="46">
        <f t="shared" si="3"/>
        <v>0</v>
      </c>
    </row>
    <row r="73" spans="1:35" x14ac:dyDescent="0.25">
      <c r="A73" s="36">
        <v>66</v>
      </c>
      <c r="B73" s="53" t="s">
        <v>667</v>
      </c>
      <c r="C73" s="54" t="s">
        <v>668</v>
      </c>
      <c r="D73" s="55">
        <v>34490</v>
      </c>
      <c r="E73" s="54" t="s">
        <v>40</v>
      </c>
      <c r="F73" s="69" t="s">
        <v>48</v>
      </c>
      <c r="G73" s="54" t="s">
        <v>669</v>
      </c>
      <c r="H73" s="54" t="s">
        <v>113</v>
      </c>
      <c r="I73" s="54" t="s">
        <v>44</v>
      </c>
      <c r="J73" s="66" t="s">
        <v>670</v>
      </c>
      <c r="K73" s="66"/>
      <c r="L73" s="66"/>
      <c r="M73" s="54" t="s">
        <v>632</v>
      </c>
      <c r="N73" s="68" t="s">
        <v>671</v>
      </c>
      <c r="O73" s="68" t="s">
        <v>76</v>
      </c>
      <c r="P73" s="70" t="s">
        <v>672</v>
      </c>
      <c r="Q73" s="66"/>
      <c r="R73" s="57" t="s">
        <v>673</v>
      </c>
      <c r="S73" s="54" t="s">
        <v>674</v>
      </c>
      <c r="T73" s="54"/>
      <c r="U73" s="54"/>
      <c r="V73" s="55">
        <v>42072</v>
      </c>
      <c r="W73" s="66" t="s">
        <v>675</v>
      </c>
      <c r="X73" s="54" t="s">
        <v>676</v>
      </c>
      <c r="Y73" s="54" t="s">
        <v>85</v>
      </c>
      <c r="Z73" s="54" t="s">
        <v>156</v>
      </c>
      <c r="AA73" s="54" t="s">
        <v>125</v>
      </c>
      <c r="AB73" s="54" t="s">
        <v>246</v>
      </c>
      <c r="AC73" s="58">
        <v>44022</v>
      </c>
      <c r="AD73" s="7"/>
      <c r="AE73" s="7"/>
      <c r="AF73" s="46" t="str">
        <f t="shared" si="0"/>
        <v>gmail.com</v>
      </c>
      <c r="AG73" s="47">
        <f t="shared" si="1"/>
        <v>0</v>
      </c>
      <c r="AH73" s="46" t="str">
        <f t="shared" si="2"/>
        <v>sahdi.lank.saputra@gmail.com</v>
      </c>
      <c r="AI73" s="46">
        <f t="shared" si="3"/>
        <v>0</v>
      </c>
    </row>
    <row r="74" spans="1:35" x14ac:dyDescent="0.25">
      <c r="A74" s="36">
        <v>67</v>
      </c>
      <c r="B74" s="37" t="s">
        <v>677</v>
      </c>
      <c r="C74" s="38" t="s">
        <v>348</v>
      </c>
      <c r="D74" s="39">
        <v>35317</v>
      </c>
      <c r="E74" s="38" t="s">
        <v>40</v>
      </c>
      <c r="F74" s="40" t="s">
        <v>48</v>
      </c>
      <c r="G74" s="38" t="s">
        <v>678</v>
      </c>
      <c r="H74" s="38" t="s">
        <v>72</v>
      </c>
      <c r="I74" s="38" t="s">
        <v>114</v>
      </c>
      <c r="J74" s="41" t="s">
        <v>679</v>
      </c>
      <c r="K74" s="41" t="s">
        <v>680</v>
      </c>
      <c r="L74" s="43"/>
      <c r="M74" s="38" t="s">
        <v>99</v>
      </c>
      <c r="N74" s="41" t="s">
        <v>681</v>
      </c>
      <c r="O74" s="41" t="s">
        <v>76</v>
      </c>
      <c r="P74" s="41" t="s">
        <v>682</v>
      </c>
      <c r="Q74" s="41" t="s">
        <v>683</v>
      </c>
      <c r="R74" s="50" t="s">
        <v>684</v>
      </c>
      <c r="S74" s="38" t="s">
        <v>685</v>
      </c>
      <c r="T74" s="38" t="s">
        <v>463</v>
      </c>
      <c r="U74" s="38" t="s">
        <v>686</v>
      </c>
      <c r="V74" s="52">
        <v>42107</v>
      </c>
      <c r="W74" s="41" t="s">
        <v>687</v>
      </c>
      <c r="X74" s="38" t="s">
        <v>688</v>
      </c>
      <c r="Y74" s="38" t="s">
        <v>52</v>
      </c>
      <c r="Z74" s="38" t="s">
        <v>108</v>
      </c>
      <c r="AA74" s="38" t="s">
        <v>125</v>
      </c>
      <c r="AB74" s="38" t="s">
        <v>689</v>
      </c>
      <c r="AC74" s="45"/>
      <c r="AD74" s="7"/>
      <c r="AE74" s="7"/>
      <c r="AF74" s="46" t="str">
        <f t="shared" si="0"/>
        <v>gmail.com</v>
      </c>
      <c r="AG74" s="47">
        <f t="shared" si="1"/>
        <v>0</v>
      </c>
      <c r="AH74" s="46" t="str">
        <f t="shared" si="2"/>
        <v>idabagusgedejayagiri0996@gmail.com</v>
      </c>
      <c r="AI74" s="46">
        <f t="shared" si="3"/>
        <v>0</v>
      </c>
    </row>
    <row r="75" spans="1:35" x14ac:dyDescent="0.25">
      <c r="A75" s="48">
        <v>68</v>
      </c>
      <c r="B75" s="53" t="s">
        <v>690</v>
      </c>
      <c r="C75" s="54" t="s">
        <v>691</v>
      </c>
      <c r="D75" s="55">
        <v>35299</v>
      </c>
      <c r="E75" s="54" t="s">
        <v>40</v>
      </c>
      <c r="F75" s="53"/>
      <c r="G75" s="54" t="s">
        <v>692</v>
      </c>
      <c r="H75" s="54"/>
      <c r="I75" s="54"/>
      <c r="J75" s="54" t="s">
        <v>693</v>
      </c>
      <c r="K75" s="54"/>
      <c r="L75" s="54"/>
      <c r="M75" s="54"/>
      <c r="N75" s="54"/>
      <c r="O75" s="54"/>
      <c r="P75" s="54"/>
      <c r="Q75" s="54" t="s">
        <v>694</v>
      </c>
      <c r="R75" s="57" t="s">
        <v>74</v>
      </c>
      <c r="S75" s="54" t="s">
        <v>695</v>
      </c>
      <c r="T75" s="54"/>
      <c r="U75" s="54"/>
      <c r="V75" s="55">
        <v>42107</v>
      </c>
      <c r="W75" s="54"/>
      <c r="X75" s="54"/>
      <c r="Y75" s="54" t="s">
        <v>85</v>
      </c>
      <c r="Z75" s="54"/>
      <c r="AA75" s="54"/>
      <c r="AB75" s="54"/>
      <c r="AC75" s="58">
        <v>42826</v>
      </c>
      <c r="AD75" s="7"/>
      <c r="AE75" s="7"/>
      <c r="AF75" s="46" t="str">
        <f t="shared" si="0"/>
        <v/>
      </c>
      <c r="AG75" s="47">
        <f t="shared" si="1"/>
        <v>0</v>
      </c>
      <c r="AH75" s="46" t="str">
        <f t="shared" si="2"/>
        <v/>
      </c>
      <c r="AI75" s="46">
        <f t="shared" si="3"/>
        <v>0</v>
      </c>
    </row>
    <row r="76" spans="1:35" x14ac:dyDescent="0.25">
      <c r="A76" s="36">
        <v>69</v>
      </c>
      <c r="B76" s="53" t="s">
        <v>696</v>
      </c>
      <c r="C76" s="54" t="s">
        <v>548</v>
      </c>
      <c r="D76" s="55">
        <v>30146</v>
      </c>
      <c r="E76" s="54" t="s">
        <v>95</v>
      </c>
      <c r="F76" s="53"/>
      <c r="G76" s="54" t="s">
        <v>697</v>
      </c>
      <c r="H76" s="54"/>
      <c r="I76" s="54"/>
      <c r="J76" s="54" t="s">
        <v>698</v>
      </c>
      <c r="K76" s="54"/>
      <c r="L76" s="54"/>
      <c r="M76" s="54" t="s">
        <v>99</v>
      </c>
      <c r="N76" s="54"/>
      <c r="O76" s="54"/>
      <c r="P76" s="54"/>
      <c r="Q76" s="54" t="s">
        <v>699</v>
      </c>
      <c r="R76" s="57" t="s">
        <v>74</v>
      </c>
      <c r="S76" s="54" t="s">
        <v>700</v>
      </c>
      <c r="T76" s="54"/>
      <c r="U76" s="54"/>
      <c r="V76" s="55">
        <v>42107</v>
      </c>
      <c r="W76" s="54"/>
      <c r="X76" s="54"/>
      <c r="Y76" s="54" t="s">
        <v>85</v>
      </c>
      <c r="Z76" s="54"/>
      <c r="AA76" s="54"/>
      <c r="AB76" s="54"/>
      <c r="AC76" s="58">
        <v>42887</v>
      </c>
      <c r="AD76" s="7"/>
      <c r="AE76" s="7"/>
      <c r="AF76" s="46"/>
      <c r="AG76" s="47"/>
      <c r="AH76" s="46"/>
      <c r="AI76" s="46"/>
    </row>
    <row r="77" spans="1:35" x14ac:dyDescent="0.25">
      <c r="A77" s="36">
        <v>70</v>
      </c>
      <c r="B77" s="53" t="s">
        <v>701</v>
      </c>
      <c r="C77" s="54" t="s">
        <v>94</v>
      </c>
      <c r="D77" s="55">
        <v>32326</v>
      </c>
      <c r="E77" s="54" t="s">
        <v>40</v>
      </c>
      <c r="F77" s="53"/>
      <c r="G77" s="54" t="s">
        <v>702</v>
      </c>
      <c r="H77" s="54"/>
      <c r="I77" s="54"/>
      <c r="J77" s="54" t="s">
        <v>703</v>
      </c>
      <c r="K77" s="54"/>
      <c r="L77" s="54"/>
      <c r="M77" s="54"/>
      <c r="N77" s="54"/>
      <c r="O77" s="54"/>
      <c r="P77" s="54"/>
      <c r="Q77" s="54" t="s">
        <v>704</v>
      </c>
      <c r="R77" s="57" t="s">
        <v>74</v>
      </c>
      <c r="S77" s="54" t="s">
        <v>702</v>
      </c>
      <c r="T77" s="54"/>
      <c r="U77" s="54"/>
      <c r="V77" s="55">
        <v>42114</v>
      </c>
      <c r="W77" s="54"/>
      <c r="X77" s="54"/>
      <c r="Y77" s="54" t="s">
        <v>85</v>
      </c>
      <c r="Z77" s="54"/>
      <c r="AA77" s="54"/>
      <c r="AB77" s="54"/>
      <c r="AC77" s="58" t="s">
        <v>705</v>
      </c>
      <c r="AD77" s="7"/>
      <c r="AE77" s="7"/>
      <c r="AF77" s="46"/>
      <c r="AG77" s="47"/>
      <c r="AH77" s="46"/>
      <c r="AI77" s="46"/>
    </row>
    <row r="78" spans="1:35" x14ac:dyDescent="0.25">
      <c r="A78" s="36">
        <v>71</v>
      </c>
      <c r="B78" s="53" t="s">
        <v>706</v>
      </c>
      <c r="C78" s="54" t="s">
        <v>486</v>
      </c>
      <c r="D78" s="55">
        <v>33930</v>
      </c>
      <c r="E78" s="54" t="s">
        <v>40</v>
      </c>
      <c r="F78" s="53"/>
      <c r="G78" s="54" t="s">
        <v>707</v>
      </c>
      <c r="H78" s="54"/>
      <c r="I78" s="54"/>
      <c r="J78" s="54" t="s">
        <v>708</v>
      </c>
      <c r="K78" s="54"/>
      <c r="L78" s="54"/>
      <c r="M78" s="54"/>
      <c r="N78" s="54"/>
      <c r="O78" s="54"/>
      <c r="P78" s="54"/>
      <c r="Q78" s="54" t="s">
        <v>709</v>
      </c>
      <c r="R78" s="57" t="s">
        <v>74</v>
      </c>
      <c r="S78" s="54" t="s">
        <v>710</v>
      </c>
      <c r="T78" s="54"/>
      <c r="U78" s="54"/>
      <c r="V78" s="55">
        <v>42136</v>
      </c>
      <c r="W78" s="54"/>
      <c r="X78" s="54"/>
      <c r="Y78" s="54" t="s">
        <v>85</v>
      </c>
      <c r="Z78" s="54"/>
      <c r="AA78" s="54"/>
      <c r="AB78" s="54"/>
      <c r="AC78" s="58">
        <v>42962</v>
      </c>
      <c r="AD78" s="7"/>
      <c r="AE78" s="7"/>
      <c r="AF78" s="46"/>
      <c r="AG78" s="47"/>
      <c r="AH78" s="46"/>
      <c r="AI78" s="46"/>
    </row>
    <row r="79" spans="1:35" x14ac:dyDescent="0.25">
      <c r="A79" s="36">
        <v>72</v>
      </c>
      <c r="B79" s="53" t="s">
        <v>711</v>
      </c>
      <c r="C79" s="54" t="s">
        <v>712</v>
      </c>
      <c r="D79" s="55">
        <v>34798</v>
      </c>
      <c r="E79" s="54" t="s">
        <v>40</v>
      </c>
      <c r="F79" s="53"/>
      <c r="G79" s="54" t="s">
        <v>713</v>
      </c>
      <c r="H79" s="54"/>
      <c r="I79" s="54"/>
      <c r="J79" s="54" t="s">
        <v>714</v>
      </c>
      <c r="K79" s="54"/>
      <c r="L79" s="54"/>
      <c r="M79" s="54"/>
      <c r="N79" s="54"/>
      <c r="O79" s="54"/>
      <c r="P79" s="54"/>
      <c r="Q79" s="54" t="s">
        <v>715</v>
      </c>
      <c r="R79" s="57" t="s">
        <v>74</v>
      </c>
      <c r="S79" s="54" t="s">
        <v>713</v>
      </c>
      <c r="T79" s="54"/>
      <c r="U79" s="54"/>
      <c r="V79" s="55">
        <v>42136</v>
      </c>
      <c r="W79" s="54"/>
      <c r="X79" s="54"/>
      <c r="Y79" s="54" t="s">
        <v>85</v>
      </c>
      <c r="Z79" s="54"/>
      <c r="AA79" s="54"/>
      <c r="AB79" s="54"/>
      <c r="AC79" s="58"/>
      <c r="AD79" s="7"/>
      <c r="AE79" s="7"/>
      <c r="AF79" s="46"/>
      <c r="AG79" s="47"/>
      <c r="AH79" s="46"/>
      <c r="AI79" s="46"/>
    </row>
    <row r="80" spans="1:35" x14ac:dyDescent="0.25">
      <c r="A80" s="36">
        <v>73</v>
      </c>
      <c r="B80" s="53" t="s">
        <v>716</v>
      </c>
      <c r="C80" s="54" t="s">
        <v>717</v>
      </c>
      <c r="D80" s="55">
        <v>31230</v>
      </c>
      <c r="E80" s="54" t="s">
        <v>40</v>
      </c>
      <c r="F80" s="53"/>
      <c r="G80" s="54" t="s">
        <v>718</v>
      </c>
      <c r="H80" s="54"/>
      <c r="I80" s="54"/>
      <c r="J80" s="54" t="s">
        <v>719</v>
      </c>
      <c r="K80" s="54"/>
      <c r="L80" s="54"/>
      <c r="M80" s="54"/>
      <c r="N80" s="54"/>
      <c r="O80" s="54"/>
      <c r="P80" s="54"/>
      <c r="Q80" s="54" t="s">
        <v>720</v>
      </c>
      <c r="R80" s="57" t="s">
        <v>74</v>
      </c>
      <c r="S80" s="54" t="s">
        <v>721</v>
      </c>
      <c r="T80" s="54"/>
      <c r="U80" s="54"/>
      <c r="V80" s="55">
        <v>42138</v>
      </c>
      <c r="W80" s="54"/>
      <c r="X80" s="54"/>
      <c r="Y80" s="54" t="s">
        <v>85</v>
      </c>
      <c r="Z80" s="54"/>
      <c r="AA80" s="54"/>
      <c r="AB80" s="54"/>
      <c r="AC80" s="58">
        <v>42857</v>
      </c>
      <c r="AD80" s="7"/>
      <c r="AE80" s="7"/>
      <c r="AF80" s="46"/>
      <c r="AG80" s="47"/>
      <c r="AH80" s="46"/>
      <c r="AI80" s="46"/>
    </row>
    <row r="81" spans="1:35" x14ac:dyDescent="0.25">
      <c r="A81" s="48">
        <v>74</v>
      </c>
      <c r="B81" s="37" t="s">
        <v>722</v>
      </c>
      <c r="C81" s="38" t="s">
        <v>668</v>
      </c>
      <c r="D81" s="39">
        <v>34956</v>
      </c>
      <c r="E81" s="38" t="s">
        <v>40</v>
      </c>
      <c r="F81" s="40" t="s">
        <v>48</v>
      </c>
      <c r="G81" s="38" t="s">
        <v>723</v>
      </c>
      <c r="H81" s="38" t="s">
        <v>113</v>
      </c>
      <c r="I81" s="38" t="s">
        <v>114</v>
      </c>
      <c r="J81" s="41" t="s">
        <v>724</v>
      </c>
      <c r="K81" s="41" t="s">
        <v>725</v>
      </c>
      <c r="L81" s="43"/>
      <c r="M81" s="38" t="s">
        <v>99</v>
      </c>
      <c r="N81" s="41" t="s">
        <v>726</v>
      </c>
      <c r="O81" s="41" t="s">
        <v>76</v>
      </c>
      <c r="P81" s="41" t="s">
        <v>727</v>
      </c>
      <c r="Q81" s="41" t="s">
        <v>728</v>
      </c>
      <c r="R81" s="50" t="s">
        <v>729</v>
      </c>
      <c r="S81" s="38" t="s">
        <v>730</v>
      </c>
      <c r="T81" s="38" t="s">
        <v>731</v>
      </c>
      <c r="U81" s="71" t="s">
        <v>732</v>
      </c>
      <c r="V81" s="52">
        <v>42164</v>
      </c>
      <c r="W81" s="41" t="s">
        <v>733</v>
      </c>
      <c r="X81" s="38" t="s">
        <v>734</v>
      </c>
      <c r="Y81" s="38" t="s">
        <v>52</v>
      </c>
      <c r="Z81" s="38" t="s">
        <v>735</v>
      </c>
      <c r="AA81" s="38" t="s">
        <v>213</v>
      </c>
      <c r="AB81" s="38" t="s">
        <v>214</v>
      </c>
      <c r="AC81" s="45"/>
      <c r="AD81" s="7"/>
      <c r="AE81" s="7"/>
      <c r="AF81" s="46"/>
      <c r="AG81" s="47"/>
      <c r="AH81" s="46"/>
      <c r="AI81" s="46"/>
    </row>
    <row r="82" spans="1:35" x14ac:dyDescent="0.25">
      <c r="A82" s="36">
        <v>75</v>
      </c>
      <c r="B82" s="53" t="s">
        <v>736</v>
      </c>
      <c r="C82" s="54" t="s">
        <v>737</v>
      </c>
      <c r="D82" s="55">
        <v>35125</v>
      </c>
      <c r="E82" s="54" t="s">
        <v>40</v>
      </c>
      <c r="F82" s="53"/>
      <c r="G82" s="54" t="s">
        <v>738</v>
      </c>
      <c r="H82" s="54"/>
      <c r="I82" s="54"/>
      <c r="J82" s="54" t="s">
        <v>739</v>
      </c>
      <c r="K82" s="54"/>
      <c r="L82" s="54"/>
      <c r="M82" s="54"/>
      <c r="N82" s="54"/>
      <c r="O82" s="54"/>
      <c r="P82" s="54"/>
      <c r="Q82" s="54" t="s">
        <v>740</v>
      </c>
      <c r="R82" s="57" t="s">
        <v>74</v>
      </c>
      <c r="S82" s="54" t="s">
        <v>741</v>
      </c>
      <c r="T82" s="54"/>
      <c r="U82" s="54" t="s">
        <v>742</v>
      </c>
      <c r="V82" s="55">
        <v>42164</v>
      </c>
      <c r="W82" s="54"/>
      <c r="X82" s="54"/>
      <c r="Y82" s="54" t="s">
        <v>85</v>
      </c>
      <c r="Z82" s="54"/>
      <c r="AA82" s="54"/>
      <c r="AB82" s="54"/>
      <c r="AC82" s="58">
        <v>43344</v>
      </c>
      <c r="AD82" s="7"/>
      <c r="AE82" s="7"/>
      <c r="AF82" s="46" t="str">
        <f>IF(R82="","",RIGHT(R82,LEN(R82)-FIND("@",R82)))</f>
        <v/>
      </c>
      <c r="AG82" s="47">
        <f>LEN(R82)-LEN(SUBSTITUTE(R82," ",""))</f>
        <v>0</v>
      </c>
      <c r="AH82" s="46" t="str">
        <f>SUBSTITUTE(R82," ","")</f>
        <v/>
      </c>
      <c r="AI82" s="46">
        <f>LEN(AH82)-LEN(SUBSTITUTE(AH82," ",""))</f>
        <v>0</v>
      </c>
    </row>
    <row r="83" spans="1:35" x14ac:dyDescent="0.25">
      <c r="A83" s="36">
        <v>76</v>
      </c>
      <c r="B83" s="37" t="s">
        <v>743</v>
      </c>
      <c r="C83" s="38" t="s">
        <v>744</v>
      </c>
      <c r="D83" s="39">
        <v>35624</v>
      </c>
      <c r="E83" s="38" t="s">
        <v>95</v>
      </c>
      <c r="F83" s="40" t="s">
        <v>129</v>
      </c>
      <c r="G83" s="38" t="s">
        <v>745</v>
      </c>
      <c r="H83" s="38" t="s">
        <v>72</v>
      </c>
      <c r="I83" s="38" t="s">
        <v>114</v>
      </c>
      <c r="J83" s="41" t="s">
        <v>746</v>
      </c>
      <c r="K83" s="41" t="s">
        <v>747</v>
      </c>
      <c r="L83" s="43"/>
      <c r="M83" s="38" t="s">
        <v>99</v>
      </c>
      <c r="N83" s="43" t="s">
        <v>748</v>
      </c>
      <c r="O83" s="43" t="s">
        <v>76</v>
      </c>
      <c r="P83" s="43" t="s">
        <v>749</v>
      </c>
      <c r="Q83" s="43" t="s">
        <v>750</v>
      </c>
      <c r="R83" s="50" t="s">
        <v>751</v>
      </c>
      <c r="S83" s="38" t="s">
        <v>752</v>
      </c>
      <c r="T83" s="38" t="s">
        <v>753</v>
      </c>
      <c r="U83" s="40" t="s">
        <v>754</v>
      </c>
      <c r="V83" s="52">
        <v>42170</v>
      </c>
      <c r="W83" s="41" t="s">
        <v>755</v>
      </c>
      <c r="X83" s="38" t="s">
        <v>756</v>
      </c>
      <c r="Y83" s="38" t="s">
        <v>52</v>
      </c>
      <c r="Z83" s="38" t="s">
        <v>172</v>
      </c>
      <c r="AA83" s="38" t="s">
        <v>125</v>
      </c>
      <c r="AB83" s="38" t="s">
        <v>140</v>
      </c>
      <c r="AC83" s="45"/>
      <c r="AD83" s="7"/>
      <c r="AE83" s="7"/>
      <c r="AF83" s="46" t="str">
        <f>IF(R83="","",RIGHT(R83,LEN(R83)-FIND("@",R83)))</f>
        <v>gmail.com</v>
      </c>
      <c r="AG83" s="47">
        <f>LEN(R83)-LEN(SUBSTITUTE(R83," ",""))</f>
        <v>0</v>
      </c>
      <c r="AH83" s="46" t="str">
        <f>SUBSTITUTE(R83," ","")</f>
        <v>dodiwarsiki64230@gmail.com</v>
      </c>
      <c r="AI83" s="46">
        <f>LEN(AH83)-LEN(SUBSTITUTE(AH83," ",""))</f>
        <v>0</v>
      </c>
    </row>
    <row r="84" spans="1:35" x14ac:dyDescent="0.25">
      <c r="A84" s="36">
        <v>77</v>
      </c>
      <c r="B84" s="53" t="s">
        <v>757</v>
      </c>
      <c r="C84" s="54" t="s">
        <v>758</v>
      </c>
      <c r="D84" s="55">
        <v>33903</v>
      </c>
      <c r="E84" s="54" t="s">
        <v>40</v>
      </c>
      <c r="F84" s="53"/>
      <c r="G84" s="54" t="s">
        <v>759</v>
      </c>
      <c r="H84" s="54"/>
      <c r="I84" s="54"/>
      <c r="J84" s="54" t="s">
        <v>760</v>
      </c>
      <c r="K84" s="54"/>
      <c r="L84" s="54"/>
      <c r="M84" s="54"/>
      <c r="N84" s="54"/>
      <c r="O84" s="54"/>
      <c r="P84" s="54"/>
      <c r="Q84" s="54" t="s">
        <v>761</v>
      </c>
      <c r="R84" s="57" t="s">
        <v>74</v>
      </c>
      <c r="S84" s="54" t="s">
        <v>762</v>
      </c>
      <c r="T84" s="54"/>
      <c r="U84" s="54"/>
      <c r="V84" s="55">
        <v>42177</v>
      </c>
      <c r="W84" s="54"/>
      <c r="X84" s="54"/>
      <c r="Y84" s="54" t="s">
        <v>85</v>
      </c>
      <c r="Z84" s="54"/>
      <c r="AA84" s="54"/>
      <c r="AB84" s="54"/>
      <c r="AC84" s="58">
        <v>42948</v>
      </c>
      <c r="AD84" s="7"/>
      <c r="AE84" s="7"/>
      <c r="AF84" s="46" t="str">
        <f>IF(R84="","",RIGHT(R84,LEN(R84)-FIND("@",R84)))</f>
        <v/>
      </c>
      <c r="AG84" s="47">
        <f>LEN(R84)-LEN(SUBSTITUTE(R84," ",""))</f>
        <v>0</v>
      </c>
      <c r="AH84" s="46" t="str">
        <f>SUBSTITUTE(R84," ","")</f>
        <v/>
      </c>
      <c r="AI84" s="46">
        <f>LEN(AH84)-LEN(SUBSTITUTE(AH84," ",""))</f>
        <v>0</v>
      </c>
    </row>
    <row r="85" spans="1:35" x14ac:dyDescent="0.25">
      <c r="A85" s="36">
        <v>78</v>
      </c>
      <c r="B85" s="37" t="s">
        <v>763</v>
      </c>
      <c r="C85" s="38" t="s">
        <v>764</v>
      </c>
      <c r="D85" s="39">
        <v>35664</v>
      </c>
      <c r="E85" s="38" t="s">
        <v>95</v>
      </c>
      <c r="F85" s="38" t="s">
        <v>48</v>
      </c>
      <c r="G85" s="38" t="s">
        <v>765</v>
      </c>
      <c r="H85" s="38" t="s">
        <v>113</v>
      </c>
      <c r="I85" s="38" t="s">
        <v>114</v>
      </c>
      <c r="J85" s="41" t="s">
        <v>766</v>
      </c>
      <c r="K85" s="41" t="s">
        <v>767</v>
      </c>
      <c r="L85" s="43"/>
      <c r="M85" s="38" t="s">
        <v>99</v>
      </c>
      <c r="N85" s="43" t="s">
        <v>768</v>
      </c>
      <c r="O85" s="43" t="s">
        <v>76</v>
      </c>
      <c r="P85" s="41" t="s">
        <v>769</v>
      </c>
      <c r="Q85" s="41" t="s">
        <v>770</v>
      </c>
      <c r="R85" s="50" t="s">
        <v>771</v>
      </c>
      <c r="S85" s="38" t="s">
        <v>772</v>
      </c>
      <c r="T85" s="38" t="s">
        <v>773</v>
      </c>
      <c r="U85" s="38" t="s">
        <v>774</v>
      </c>
      <c r="V85" s="60">
        <v>42219</v>
      </c>
      <c r="W85" s="41" t="s">
        <v>775</v>
      </c>
      <c r="X85" s="38" t="s">
        <v>776</v>
      </c>
      <c r="Y85" s="38" t="s">
        <v>52</v>
      </c>
      <c r="Z85" s="38" t="s">
        <v>396</v>
      </c>
      <c r="AA85" s="38" t="s">
        <v>777</v>
      </c>
      <c r="AB85" s="38" t="s">
        <v>778</v>
      </c>
      <c r="AC85" s="45"/>
      <c r="AD85" s="7"/>
      <c r="AE85" s="7"/>
      <c r="AF85" s="46" t="str">
        <f>IF(R85="","",RIGHT(R85,LEN(R85)-FIND("@",R85)))</f>
        <v>gmail.com</v>
      </c>
      <c r="AG85" s="47">
        <f>LEN(R85)-LEN(SUBSTITUTE(R85," ",""))</f>
        <v>0</v>
      </c>
      <c r="AH85" s="46" t="str">
        <f>SUBSTITUTE(R85," ","")</f>
        <v>nazullaagustin321@gmail.com</v>
      </c>
      <c r="AI85" s="46">
        <f>LEN(AH85)-LEN(SUBSTITUTE(AH85," ",""))</f>
        <v>0</v>
      </c>
    </row>
    <row r="86" spans="1:35" x14ac:dyDescent="0.25">
      <c r="A86" s="36">
        <v>79</v>
      </c>
      <c r="B86" s="53" t="s">
        <v>779</v>
      </c>
      <c r="C86" s="54" t="s">
        <v>365</v>
      </c>
      <c r="D86" s="55">
        <v>34680</v>
      </c>
      <c r="E86" s="54" t="s">
        <v>40</v>
      </c>
      <c r="F86" s="53"/>
      <c r="G86" s="54" t="s">
        <v>780</v>
      </c>
      <c r="H86" s="54"/>
      <c r="I86" s="54"/>
      <c r="J86" s="54" t="s">
        <v>781</v>
      </c>
      <c r="K86" s="54"/>
      <c r="L86" s="54"/>
      <c r="M86" s="54"/>
      <c r="N86" s="54"/>
      <c r="O86" s="54"/>
      <c r="P86" s="54"/>
      <c r="Q86" s="54" t="s">
        <v>782</v>
      </c>
      <c r="R86" s="57" t="s">
        <v>74</v>
      </c>
      <c r="S86" s="54" t="s">
        <v>783</v>
      </c>
      <c r="T86" s="54"/>
      <c r="U86" s="54"/>
      <c r="V86" s="55">
        <v>42222</v>
      </c>
      <c r="W86" s="54"/>
      <c r="X86" s="54"/>
      <c r="Y86" s="54" t="s">
        <v>85</v>
      </c>
      <c r="Z86" s="54"/>
      <c r="AA86" s="54"/>
      <c r="AB86" s="54"/>
      <c r="AC86" s="58">
        <v>43009</v>
      </c>
      <c r="AD86" s="7"/>
      <c r="AE86" s="7"/>
      <c r="AF86" s="46"/>
      <c r="AG86" s="47"/>
      <c r="AH86" s="46"/>
      <c r="AI86" s="46"/>
    </row>
    <row r="87" spans="1:35" x14ac:dyDescent="0.25">
      <c r="A87" s="48">
        <v>80</v>
      </c>
      <c r="B87" s="53" t="s">
        <v>784</v>
      </c>
      <c r="C87" s="54" t="s">
        <v>717</v>
      </c>
      <c r="D87" s="55">
        <v>34790</v>
      </c>
      <c r="E87" s="54" t="s">
        <v>40</v>
      </c>
      <c r="F87" s="53"/>
      <c r="G87" s="54" t="s">
        <v>785</v>
      </c>
      <c r="H87" s="54"/>
      <c r="I87" s="54"/>
      <c r="J87" s="54" t="s">
        <v>786</v>
      </c>
      <c r="K87" s="54"/>
      <c r="L87" s="54"/>
      <c r="M87" s="54"/>
      <c r="N87" s="54"/>
      <c r="O87" s="54"/>
      <c r="P87" s="54"/>
      <c r="Q87" s="54" t="s">
        <v>787</v>
      </c>
      <c r="R87" s="57" t="s">
        <v>74</v>
      </c>
      <c r="S87" s="54" t="s">
        <v>788</v>
      </c>
      <c r="T87" s="54"/>
      <c r="U87" s="54"/>
      <c r="V87" s="55">
        <v>42226</v>
      </c>
      <c r="W87" s="54"/>
      <c r="X87" s="54"/>
      <c r="Y87" s="54" t="s">
        <v>85</v>
      </c>
      <c r="Z87" s="54"/>
      <c r="AA87" s="54"/>
      <c r="AB87" s="54"/>
      <c r="AC87" s="58">
        <v>43045</v>
      </c>
      <c r="AD87" s="7"/>
      <c r="AE87" s="7"/>
      <c r="AF87" s="46"/>
      <c r="AG87" s="47"/>
      <c r="AH87" s="46"/>
      <c r="AI87" s="46"/>
    </row>
    <row r="88" spans="1:35" x14ac:dyDescent="0.25">
      <c r="A88" s="36">
        <v>81</v>
      </c>
      <c r="B88" s="53" t="s">
        <v>789</v>
      </c>
      <c r="C88" s="54" t="s">
        <v>790</v>
      </c>
      <c r="D88" s="55">
        <v>35594</v>
      </c>
      <c r="E88" s="54" t="s">
        <v>40</v>
      </c>
      <c r="F88" s="53"/>
      <c r="G88" s="54" t="s">
        <v>791</v>
      </c>
      <c r="H88" s="54"/>
      <c r="I88" s="54"/>
      <c r="J88" s="54" t="s">
        <v>792</v>
      </c>
      <c r="K88" s="54"/>
      <c r="L88" s="54"/>
      <c r="M88" s="54"/>
      <c r="N88" s="54"/>
      <c r="O88" s="54"/>
      <c r="P88" s="54"/>
      <c r="Q88" s="54" t="s">
        <v>793</v>
      </c>
      <c r="R88" s="57" t="s">
        <v>74</v>
      </c>
      <c r="S88" s="54" t="s">
        <v>794</v>
      </c>
      <c r="T88" s="54"/>
      <c r="U88" s="54"/>
      <c r="V88" s="55">
        <v>42229</v>
      </c>
      <c r="W88" s="54"/>
      <c r="X88" s="54"/>
      <c r="Y88" s="54" t="s">
        <v>85</v>
      </c>
      <c r="Z88" s="54"/>
      <c r="AA88" s="54"/>
      <c r="AB88" s="54"/>
      <c r="AC88" s="58">
        <v>43045</v>
      </c>
      <c r="AD88" s="7"/>
      <c r="AE88" s="7"/>
      <c r="AF88" s="46"/>
      <c r="AG88" s="47"/>
      <c r="AH88" s="46"/>
      <c r="AI88" s="46"/>
    </row>
    <row r="89" spans="1:35" x14ac:dyDescent="0.25">
      <c r="A89" s="36">
        <v>82</v>
      </c>
      <c r="B89" s="37" t="s">
        <v>795</v>
      </c>
      <c r="C89" s="38" t="s">
        <v>796</v>
      </c>
      <c r="D89" s="39">
        <v>34606</v>
      </c>
      <c r="E89" s="38" t="s">
        <v>95</v>
      </c>
      <c r="F89" s="40" t="s">
        <v>48</v>
      </c>
      <c r="G89" s="38" t="s">
        <v>797</v>
      </c>
      <c r="H89" s="38" t="s">
        <v>113</v>
      </c>
      <c r="I89" s="38" t="s">
        <v>114</v>
      </c>
      <c r="J89" s="40" t="s">
        <v>798</v>
      </c>
      <c r="K89" s="40" t="s">
        <v>799</v>
      </c>
      <c r="L89" s="40"/>
      <c r="M89" s="38" t="s">
        <v>99</v>
      </c>
      <c r="N89" s="40" t="s">
        <v>800</v>
      </c>
      <c r="O89" s="40" t="s">
        <v>76</v>
      </c>
      <c r="P89" s="40" t="s">
        <v>801</v>
      </c>
      <c r="Q89" s="40" t="s">
        <v>802</v>
      </c>
      <c r="R89" s="50" t="s">
        <v>803</v>
      </c>
      <c r="S89" s="38" t="s">
        <v>804</v>
      </c>
      <c r="T89" s="38" t="s">
        <v>613</v>
      </c>
      <c r="U89" s="40" t="s">
        <v>805</v>
      </c>
      <c r="V89" s="60">
        <v>42254</v>
      </c>
      <c r="W89" s="65" t="s">
        <v>806</v>
      </c>
      <c r="X89" s="38" t="s">
        <v>807</v>
      </c>
      <c r="Y89" s="38" t="s">
        <v>52</v>
      </c>
      <c r="Z89" s="38" t="s">
        <v>416</v>
      </c>
      <c r="AA89" s="38" t="s">
        <v>397</v>
      </c>
      <c r="AB89" s="38" t="s">
        <v>55</v>
      </c>
      <c r="AC89" s="45"/>
      <c r="AD89" s="7"/>
      <c r="AE89" s="7"/>
      <c r="AF89" s="46" t="str">
        <f t="shared" ref="AF89:AF95" si="4">IF(R89="","",RIGHT(R89,LEN(R89)-FIND("@",R89)))</f>
        <v>gmail.com</v>
      </c>
      <c r="AG89" s="47">
        <f t="shared" ref="AG89:AG95" si="5">LEN(R89)-LEN(SUBSTITUTE(R89," ",""))</f>
        <v>0</v>
      </c>
      <c r="AH89" s="46" t="str">
        <f t="shared" ref="AH89:AH95" si="6">SUBSTITUTE(R89," ","")</f>
        <v>renianjarsari29@gmail.com</v>
      </c>
      <c r="AI89" s="46">
        <f t="shared" ref="AI89:AI95" si="7">LEN(AH89)-LEN(SUBSTITUTE(AH89," ",""))</f>
        <v>0</v>
      </c>
    </row>
    <row r="90" spans="1:35" x14ac:dyDescent="0.25">
      <c r="A90" s="36">
        <v>83</v>
      </c>
      <c r="B90" s="53" t="s">
        <v>808</v>
      </c>
      <c r="C90" s="54" t="s">
        <v>809</v>
      </c>
      <c r="D90" s="55">
        <v>35704</v>
      </c>
      <c r="E90" s="54" t="s">
        <v>40</v>
      </c>
      <c r="F90" s="53"/>
      <c r="G90" s="54" t="s">
        <v>810</v>
      </c>
      <c r="H90" s="54"/>
      <c r="I90" s="54"/>
      <c r="J90" s="54" t="s">
        <v>811</v>
      </c>
      <c r="K90" s="54"/>
      <c r="L90" s="54"/>
      <c r="M90" s="54"/>
      <c r="N90" s="54"/>
      <c r="O90" s="54"/>
      <c r="P90" s="54"/>
      <c r="Q90" s="54" t="s">
        <v>812</v>
      </c>
      <c r="R90" s="57" t="s">
        <v>74</v>
      </c>
      <c r="S90" s="54" t="s">
        <v>813</v>
      </c>
      <c r="T90" s="54"/>
      <c r="U90" s="54" t="s">
        <v>814</v>
      </c>
      <c r="V90" s="55">
        <v>42254</v>
      </c>
      <c r="W90" s="54"/>
      <c r="X90" s="54"/>
      <c r="Y90" s="54" t="s">
        <v>85</v>
      </c>
      <c r="Z90" s="54"/>
      <c r="AA90" s="54"/>
      <c r="AB90" s="54"/>
      <c r="AC90" s="58">
        <v>43435</v>
      </c>
      <c r="AD90" s="7"/>
      <c r="AE90" s="7"/>
      <c r="AF90" s="46" t="str">
        <f t="shared" si="4"/>
        <v/>
      </c>
      <c r="AG90" s="47">
        <f t="shared" si="5"/>
        <v>0</v>
      </c>
      <c r="AH90" s="46" t="str">
        <f t="shared" si="6"/>
        <v/>
      </c>
      <c r="AI90" s="46">
        <f t="shared" si="7"/>
        <v>0</v>
      </c>
    </row>
    <row r="91" spans="1:35" x14ac:dyDescent="0.25">
      <c r="A91" s="36">
        <v>84</v>
      </c>
      <c r="B91" s="53" t="s">
        <v>815</v>
      </c>
      <c r="C91" s="54" t="s">
        <v>816</v>
      </c>
      <c r="D91" s="55">
        <v>34889</v>
      </c>
      <c r="E91" s="54" t="s">
        <v>95</v>
      </c>
      <c r="F91" s="53"/>
      <c r="G91" s="54" t="s">
        <v>817</v>
      </c>
      <c r="H91" s="54"/>
      <c r="I91" s="54"/>
      <c r="J91" s="54" t="s">
        <v>818</v>
      </c>
      <c r="K91" s="54"/>
      <c r="L91" s="54"/>
      <c r="M91" s="54" t="s">
        <v>99</v>
      </c>
      <c r="N91" s="54"/>
      <c r="O91" s="54"/>
      <c r="P91" s="54"/>
      <c r="Q91" s="54" t="s">
        <v>819</v>
      </c>
      <c r="R91" s="57" t="s">
        <v>74</v>
      </c>
      <c r="S91" s="54" t="s">
        <v>820</v>
      </c>
      <c r="T91" s="54"/>
      <c r="U91" s="54" t="s">
        <v>821</v>
      </c>
      <c r="V91" s="55">
        <v>42254</v>
      </c>
      <c r="W91" s="54"/>
      <c r="X91" s="54"/>
      <c r="Y91" s="54" t="s">
        <v>85</v>
      </c>
      <c r="Z91" s="54"/>
      <c r="AA91" s="54"/>
      <c r="AB91" s="54"/>
      <c r="AC91" s="58">
        <v>43770</v>
      </c>
      <c r="AD91" s="7"/>
      <c r="AE91" s="7"/>
      <c r="AF91" s="46" t="str">
        <f t="shared" si="4"/>
        <v/>
      </c>
      <c r="AG91" s="47">
        <f t="shared" si="5"/>
        <v>0</v>
      </c>
      <c r="AH91" s="46" t="str">
        <f t="shared" si="6"/>
        <v/>
      </c>
      <c r="AI91" s="46">
        <f t="shared" si="7"/>
        <v>0</v>
      </c>
    </row>
    <row r="92" spans="1:35" x14ac:dyDescent="0.25">
      <c r="A92" s="36">
        <v>85</v>
      </c>
      <c r="B92" s="37" t="s">
        <v>822</v>
      </c>
      <c r="C92" s="38" t="s">
        <v>328</v>
      </c>
      <c r="D92" s="39">
        <v>35379</v>
      </c>
      <c r="E92" s="38" t="s">
        <v>40</v>
      </c>
      <c r="F92" s="40" t="s">
        <v>48</v>
      </c>
      <c r="G92" s="38" t="s">
        <v>823</v>
      </c>
      <c r="H92" s="38" t="s">
        <v>113</v>
      </c>
      <c r="I92" s="38" t="s">
        <v>114</v>
      </c>
      <c r="J92" s="43" t="s">
        <v>824</v>
      </c>
      <c r="K92" s="41"/>
      <c r="L92" s="43"/>
      <c r="M92" s="38" t="s">
        <v>99</v>
      </c>
      <c r="N92" s="43" t="s">
        <v>825</v>
      </c>
      <c r="O92" s="43" t="s">
        <v>76</v>
      </c>
      <c r="P92" s="43" t="s">
        <v>826</v>
      </c>
      <c r="Q92" s="43" t="s">
        <v>827</v>
      </c>
      <c r="R92" s="50" t="s">
        <v>828</v>
      </c>
      <c r="S92" s="38" t="s">
        <v>829</v>
      </c>
      <c r="T92" s="38"/>
      <c r="U92" s="38"/>
      <c r="V92" s="60">
        <v>42272</v>
      </c>
      <c r="W92" s="41" t="s">
        <v>830</v>
      </c>
      <c r="X92" s="38" t="s">
        <v>831</v>
      </c>
      <c r="Y92" s="38" t="s">
        <v>52</v>
      </c>
      <c r="Z92" s="38" t="s">
        <v>156</v>
      </c>
      <c r="AA92" s="38" t="s">
        <v>125</v>
      </c>
      <c r="AB92" s="38" t="s">
        <v>282</v>
      </c>
      <c r="AC92" s="45"/>
      <c r="AD92" s="7"/>
      <c r="AE92" s="7"/>
      <c r="AF92" s="46" t="str">
        <f t="shared" si="4"/>
        <v>gmail.com</v>
      </c>
      <c r="AG92" s="47">
        <f t="shared" si="5"/>
        <v>0</v>
      </c>
      <c r="AH92" s="46" t="str">
        <f t="shared" si="6"/>
        <v>husnisingoedan551@gmail.com</v>
      </c>
      <c r="AI92" s="46">
        <f t="shared" si="7"/>
        <v>0</v>
      </c>
    </row>
    <row r="93" spans="1:35" x14ac:dyDescent="0.25">
      <c r="A93" s="48">
        <v>86</v>
      </c>
      <c r="B93" s="53" t="s">
        <v>832</v>
      </c>
      <c r="C93" s="54" t="s">
        <v>833</v>
      </c>
      <c r="D93" s="55">
        <v>35437</v>
      </c>
      <c r="E93" s="54" t="s">
        <v>95</v>
      </c>
      <c r="F93" s="53"/>
      <c r="G93" s="54" t="s">
        <v>834</v>
      </c>
      <c r="H93" s="54"/>
      <c r="I93" s="54"/>
      <c r="J93" s="54" t="s">
        <v>835</v>
      </c>
      <c r="K93" s="54"/>
      <c r="L93" s="54"/>
      <c r="M93" s="54" t="s">
        <v>99</v>
      </c>
      <c r="N93" s="54"/>
      <c r="O93" s="54"/>
      <c r="P93" s="54"/>
      <c r="Q93" s="54" t="s">
        <v>836</v>
      </c>
      <c r="R93" s="57" t="s">
        <v>74</v>
      </c>
      <c r="S93" s="54" t="s">
        <v>837</v>
      </c>
      <c r="T93" s="54"/>
      <c r="U93" s="54" t="s">
        <v>838</v>
      </c>
      <c r="V93" s="55">
        <v>42289</v>
      </c>
      <c r="W93" s="54"/>
      <c r="X93" s="54"/>
      <c r="Y93" s="54" t="s">
        <v>85</v>
      </c>
      <c r="Z93" s="54"/>
      <c r="AA93" s="54"/>
      <c r="AB93" s="54"/>
      <c r="AC93" s="58">
        <v>43344</v>
      </c>
      <c r="AD93" s="7"/>
      <c r="AE93" s="7"/>
      <c r="AF93" s="46" t="str">
        <f t="shared" si="4"/>
        <v/>
      </c>
      <c r="AG93" s="47">
        <f t="shared" si="5"/>
        <v>0</v>
      </c>
      <c r="AH93" s="46" t="str">
        <f t="shared" si="6"/>
        <v/>
      </c>
      <c r="AI93" s="46">
        <f t="shared" si="7"/>
        <v>0</v>
      </c>
    </row>
    <row r="94" spans="1:35" x14ac:dyDescent="0.25">
      <c r="A94" s="36">
        <v>87</v>
      </c>
      <c r="B94" s="53" t="s">
        <v>839</v>
      </c>
      <c r="C94" s="54" t="s">
        <v>790</v>
      </c>
      <c r="D94" s="55">
        <v>35187</v>
      </c>
      <c r="E94" s="54" t="s">
        <v>40</v>
      </c>
      <c r="F94" s="53"/>
      <c r="G94" s="54" t="s">
        <v>840</v>
      </c>
      <c r="H94" s="54"/>
      <c r="I94" s="54"/>
      <c r="J94" s="54" t="s">
        <v>841</v>
      </c>
      <c r="K94" s="54"/>
      <c r="L94" s="54"/>
      <c r="M94" s="54"/>
      <c r="N94" s="54"/>
      <c r="O94" s="54"/>
      <c r="P94" s="54"/>
      <c r="Q94" s="54" t="s">
        <v>842</v>
      </c>
      <c r="R94" s="57" t="s">
        <v>74</v>
      </c>
      <c r="S94" s="54" t="s">
        <v>843</v>
      </c>
      <c r="T94" s="54"/>
      <c r="U94" s="54"/>
      <c r="V94" s="55">
        <v>42298</v>
      </c>
      <c r="W94" s="54"/>
      <c r="X94" s="54"/>
      <c r="Y94" s="54" t="s">
        <v>85</v>
      </c>
      <c r="Z94" s="54"/>
      <c r="AA94" s="54"/>
      <c r="AB94" s="54"/>
      <c r="AC94" s="58"/>
      <c r="AD94" s="7"/>
      <c r="AE94" s="7"/>
      <c r="AF94" s="46" t="str">
        <f t="shared" si="4"/>
        <v/>
      </c>
      <c r="AG94" s="47">
        <f t="shared" si="5"/>
        <v>0</v>
      </c>
      <c r="AH94" s="46" t="str">
        <f t="shared" si="6"/>
        <v/>
      </c>
      <c r="AI94" s="46">
        <f t="shared" si="7"/>
        <v>0</v>
      </c>
    </row>
    <row r="95" spans="1:35" x14ac:dyDescent="0.25">
      <c r="A95" s="36">
        <v>88</v>
      </c>
      <c r="B95" s="37" t="s">
        <v>844</v>
      </c>
      <c r="C95" s="38" t="s">
        <v>328</v>
      </c>
      <c r="D95" s="39">
        <v>34111</v>
      </c>
      <c r="E95" s="38" t="s">
        <v>95</v>
      </c>
      <c r="F95" s="40" t="s">
        <v>48</v>
      </c>
      <c r="G95" s="38" t="s">
        <v>845</v>
      </c>
      <c r="H95" s="38" t="s">
        <v>113</v>
      </c>
      <c r="I95" s="38" t="s">
        <v>44</v>
      </c>
      <c r="J95" s="41" t="s">
        <v>846</v>
      </c>
      <c r="K95" s="41" t="s">
        <v>847</v>
      </c>
      <c r="L95" s="43"/>
      <c r="M95" s="38" t="s">
        <v>99</v>
      </c>
      <c r="N95" s="43" t="s">
        <v>848</v>
      </c>
      <c r="O95" s="43" t="s">
        <v>76</v>
      </c>
      <c r="P95" s="41" t="s">
        <v>849</v>
      </c>
      <c r="Q95" s="43" t="s">
        <v>850</v>
      </c>
      <c r="R95" s="50" t="s">
        <v>851</v>
      </c>
      <c r="S95" s="38" t="s">
        <v>852</v>
      </c>
      <c r="T95" s="38" t="s">
        <v>853</v>
      </c>
      <c r="U95" s="38" t="s">
        <v>854</v>
      </c>
      <c r="V95" s="60">
        <v>42299</v>
      </c>
      <c r="W95" s="41" t="s">
        <v>855</v>
      </c>
      <c r="X95" s="38" t="s">
        <v>856</v>
      </c>
      <c r="Y95" s="38" t="s">
        <v>52</v>
      </c>
      <c r="Z95" s="38" t="s">
        <v>735</v>
      </c>
      <c r="AA95" s="38" t="s">
        <v>125</v>
      </c>
      <c r="AB95" s="38" t="s">
        <v>282</v>
      </c>
      <c r="AC95" s="45"/>
      <c r="AD95" s="7"/>
      <c r="AE95" s="7"/>
      <c r="AF95" s="46" t="str">
        <f t="shared" si="4"/>
        <v>gmail.com</v>
      </c>
      <c r="AG95" s="47">
        <f t="shared" si="5"/>
        <v>0</v>
      </c>
      <c r="AH95" s="46" t="str">
        <f t="shared" si="6"/>
        <v>riskaelvandari22@gmail.com</v>
      </c>
      <c r="AI95" s="46">
        <f t="shared" si="7"/>
        <v>0</v>
      </c>
    </row>
    <row r="96" spans="1:35" x14ac:dyDescent="0.25">
      <c r="A96" s="36">
        <v>89</v>
      </c>
      <c r="B96" s="53" t="s">
        <v>857</v>
      </c>
      <c r="C96" s="54" t="s">
        <v>858</v>
      </c>
      <c r="D96" s="55">
        <v>35518</v>
      </c>
      <c r="E96" s="54" t="s">
        <v>95</v>
      </c>
      <c r="F96" s="69" t="s">
        <v>48</v>
      </c>
      <c r="G96" s="54" t="s">
        <v>859</v>
      </c>
      <c r="H96" s="54" t="s">
        <v>72</v>
      </c>
      <c r="I96" s="54" t="s">
        <v>114</v>
      </c>
      <c r="J96" s="66" t="s">
        <v>860</v>
      </c>
      <c r="K96" s="66" t="s">
        <v>861</v>
      </c>
      <c r="L96" s="66"/>
      <c r="M96" s="54" t="s">
        <v>99</v>
      </c>
      <c r="N96" s="68" t="s">
        <v>862</v>
      </c>
      <c r="O96" s="68" t="s">
        <v>147</v>
      </c>
      <c r="P96" s="68" t="s">
        <v>863</v>
      </c>
      <c r="Q96" s="68" t="s">
        <v>864</v>
      </c>
      <c r="R96" s="57" t="s">
        <v>865</v>
      </c>
      <c r="S96" s="54" t="s">
        <v>866</v>
      </c>
      <c r="T96" s="54" t="s">
        <v>867</v>
      </c>
      <c r="U96" s="54" t="s">
        <v>868</v>
      </c>
      <c r="V96" s="72">
        <v>42299</v>
      </c>
      <c r="W96" s="66" t="s">
        <v>869</v>
      </c>
      <c r="X96" s="54" t="s">
        <v>870</v>
      </c>
      <c r="Y96" s="54" t="s">
        <v>85</v>
      </c>
      <c r="Z96" s="54" t="s">
        <v>172</v>
      </c>
      <c r="AA96" s="54" t="s">
        <v>125</v>
      </c>
      <c r="AB96" s="54" t="s">
        <v>173</v>
      </c>
      <c r="AC96" s="58">
        <v>44005</v>
      </c>
      <c r="AD96" s="7"/>
      <c r="AE96" s="7"/>
      <c r="AF96" s="46"/>
      <c r="AG96" s="47"/>
      <c r="AH96" s="46"/>
      <c r="AI96" s="46"/>
    </row>
    <row r="97" spans="1:35" x14ac:dyDescent="0.25">
      <c r="A97" s="36">
        <v>90</v>
      </c>
      <c r="B97" s="37" t="s">
        <v>871</v>
      </c>
      <c r="C97" s="38" t="s">
        <v>872</v>
      </c>
      <c r="D97" s="39">
        <v>34892</v>
      </c>
      <c r="E97" s="38" t="s">
        <v>40</v>
      </c>
      <c r="F97" s="40" t="s">
        <v>48</v>
      </c>
      <c r="G97" s="38" t="s">
        <v>873</v>
      </c>
      <c r="H97" s="38" t="s">
        <v>113</v>
      </c>
      <c r="I97" s="38" t="s">
        <v>114</v>
      </c>
      <c r="J97" s="41" t="s">
        <v>874</v>
      </c>
      <c r="K97" s="41" t="s">
        <v>875</v>
      </c>
      <c r="L97" s="43"/>
      <c r="M97" s="38" t="s">
        <v>99</v>
      </c>
      <c r="N97" s="41" t="s">
        <v>876</v>
      </c>
      <c r="O97" s="41" t="s">
        <v>428</v>
      </c>
      <c r="P97" s="41" t="s">
        <v>877</v>
      </c>
      <c r="Q97" s="40" t="s">
        <v>878</v>
      </c>
      <c r="R97" s="50" t="s">
        <v>879</v>
      </c>
      <c r="S97" s="38" t="s">
        <v>880</v>
      </c>
      <c r="T97" s="38" t="s">
        <v>613</v>
      </c>
      <c r="U97" s="41" t="s">
        <v>881</v>
      </c>
      <c r="V97" s="60">
        <v>42299</v>
      </c>
      <c r="W97" s="41" t="s">
        <v>882</v>
      </c>
      <c r="X97" s="38" t="s">
        <v>883</v>
      </c>
      <c r="Y97" s="38" t="s">
        <v>52</v>
      </c>
      <c r="Z97" s="38" t="s">
        <v>416</v>
      </c>
      <c r="AA97" s="38" t="s">
        <v>125</v>
      </c>
      <c r="AB97" s="38" t="s">
        <v>884</v>
      </c>
      <c r="AC97" s="45"/>
      <c r="AD97" s="7"/>
      <c r="AE97" s="7"/>
      <c r="AF97" s="46"/>
      <c r="AG97" s="47"/>
      <c r="AH97" s="46"/>
      <c r="AI97" s="46"/>
    </row>
    <row r="98" spans="1:35" x14ac:dyDescent="0.25">
      <c r="A98" s="36">
        <v>91</v>
      </c>
      <c r="B98" s="53" t="s">
        <v>885</v>
      </c>
      <c r="C98" s="54" t="s">
        <v>886</v>
      </c>
      <c r="D98" s="55">
        <v>34000</v>
      </c>
      <c r="E98" s="54" t="s">
        <v>95</v>
      </c>
      <c r="F98" s="53"/>
      <c r="G98" s="54" t="s">
        <v>503</v>
      </c>
      <c r="H98" s="54"/>
      <c r="I98" s="54"/>
      <c r="J98" s="54" t="s">
        <v>887</v>
      </c>
      <c r="K98" s="54"/>
      <c r="L98" s="54"/>
      <c r="M98" s="54" t="s">
        <v>99</v>
      </c>
      <c r="N98" s="54"/>
      <c r="O98" s="54"/>
      <c r="P98" s="54"/>
      <c r="Q98" s="54" t="s">
        <v>888</v>
      </c>
      <c r="R98" s="57" t="s">
        <v>74</v>
      </c>
      <c r="S98" s="54" t="s">
        <v>889</v>
      </c>
      <c r="T98" s="54"/>
      <c r="U98" s="54"/>
      <c r="V98" s="55">
        <v>42317</v>
      </c>
      <c r="W98" s="54"/>
      <c r="X98" s="54"/>
      <c r="Y98" s="54" t="s">
        <v>85</v>
      </c>
      <c r="Z98" s="54"/>
      <c r="AA98" s="54"/>
      <c r="AB98" s="54"/>
      <c r="AC98" s="58">
        <v>42562</v>
      </c>
      <c r="AD98" s="7"/>
      <c r="AE98" s="7"/>
      <c r="AF98" s="46"/>
      <c r="AG98" s="47"/>
      <c r="AH98" s="46"/>
      <c r="AI98" s="46"/>
    </row>
    <row r="99" spans="1:35" x14ac:dyDescent="0.25">
      <c r="A99" s="48">
        <v>92</v>
      </c>
      <c r="B99" s="37" t="s">
        <v>890</v>
      </c>
      <c r="C99" s="38" t="s">
        <v>891</v>
      </c>
      <c r="D99" s="39">
        <v>30753</v>
      </c>
      <c r="E99" s="38" t="s">
        <v>40</v>
      </c>
      <c r="F99" s="40" t="s">
        <v>48</v>
      </c>
      <c r="G99" s="38" t="s">
        <v>892</v>
      </c>
      <c r="H99" s="38" t="s">
        <v>43</v>
      </c>
      <c r="I99" s="38" t="s">
        <v>114</v>
      </c>
      <c r="J99" s="41" t="s">
        <v>893</v>
      </c>
      <c r="K99" s="41"/>
      <c r="L99" s="43"/>
      <c r="M99" s="38" t="s">
        <v>99</v>
      </c>
      <c r="N99" s="43" t="s">
        <v>48</v>
      </c>
      <c r="O99" s="43"/>
      <c r="P99" s="73" t="s">
        <v>165</v>
      </c>
      <c r="Q99" s="41"/>
      <c r="R99" s="50" t="s">
        <v>894</v>
      </c>
      <c r="S99" s="38" t="s">
        <v>895</v>
      </c>
      <c r="T99" s="38"/>
      <c r="U99" s="38"/>
      <c r="V99" s="60">
        <v>42319</v>
      </c>
      <c r="W99" s="41" t="s">
        <v>896</v>
      </c>
      <c r="X99" s="38" t="s">
        <v>897</v>
      </c>
      <c r="Y99" s="38" t="s">
        <v>52</v>
      </c>
      <c r="Z99" s="38" t="s">
        <v>898</v>
      </c>
      <c r="AA99" s="38" t="s">
        <v>777</v>
      </c>
      <c r="AB99" s="38" t="s">
        <v>778</v>
      </c>
      <c r="AC99" s="45"/>
      <c r="AD99" s="7"/>
      <c r="AE99" s="7"/>
      <c r="AF99" s="46" t="str">
        <f>IF(R99="","",RIGHT(R99,LEN(R99)-FIND("@",R99)))</f>
        <v>gmail.com</v>
      </c>
      <c r="AG99" s="47">
        <f>LEN(R99)-LEN(SUBSTITUTE(R99," ",""))</f>
        <v>0</v>
      </c>
      <c r="AH99" s="46" t="str">
        <f>SUBSTITUTE(R99," ","")</f>
        <v>kendumartinus@gmail.com</v>
      </c>
      <c r="AI99" s="46">
        <f>LEN(AH99)-LEN(SUBSTITUTE(AH99," ",""))</f>
        <v>0</v>
      </c>
    </row>
    <row r="100" spans="1:35" x14ac:dyDescent="0.25">
      <c r="A100" s="36">
        <v>93</v>
      </c>
      <c r="B100" s="53" t="s">
        <v>899</v>
      </c>
      <c r="C100" s="54" t="s">
        <v>94</v>
      </c>
      <c r="D100" s="55">
        <v>35327</v>
      </c>
      <c r="E100" s="54" t="s">
        <v>95</v>
      </c>
      <c r="F100" s="54" t="s">
        <v>129</v>
      </c>
      <c r="G100" s="54" t="s">
        <v>900</v>
      </c>
      <c r="H100" s="54" t="s">
        <v>72</v>
      </c>
      <c r="I100" s="54" t="s">
        <v>114</v>
      </c>
      <c r="J100" s="66" t="s">
        <v>901</v>
      </c>
      <c r="K100" s="66" t="s">
        <v>902</v>
      </c>
      <c r="L100" s="66"/>
      <c r="M100" s="54" t="s">
        <v>99</v>
      </c>
      <c r="N100" s="68" t="s">
        <v>903</v>
      </c>
      <c r="O100" s="68" t="s">
        <v>147</v>
      </c>
      <c r="P100" s="66" t="s">
        <v>904</v>
      </c>
      <c r="Q100" s="66" t="s">
        <v>905</v>
      </c>
      <c r="R100" s="57" t="s">
        <v>906</v>
      </c>
      <c r="S100" s="54" t="s">
        <v>907</v>
      </c>
      <c r="T100" s="54" t="s">
        <v>463</v>
      </c>
      <c r="U100" s="54" t="s">
        <v>908</v>
      </c>
      <c r="V100" s="72">
        <v>42327</v>
      </c>
      <c r="W100" s="66" t="s">
        <v>909</v>
      </c>
      <c r="X100" s="54" t="s">
        <v>910</v>
      </c>
      <c r="Y100" s="54" t="s">
        <v>85</v>
      </c>
      <c r="Z100" s="54" t="s">
        <v>172</v>
      </c>
      <c r="AA100" s="54" t="s">
        <v>125</v>
      </c>
      <c r="AB100" s="54" t="s">
        <v>641</v>
      </c>
      <c r="AC100" s="58">
        <v>44005</v>
      </c>
      <c r="AD100" s="7"/>
      <c r="AE100" s="7"/>
      <c r="AF100" s="46" t="str">
        <f>IF(R100="","",RIGHT(R100,LEN(R100)-FIND("@",R100)))</f>
        <v>gmail.com</v>
      </c>
      <c r="AG100" s="47">
        <f>LEN(R100)-LEN(SUBSTITUTE(R100," ",""))</f>
        <v>0</v>
      </c>
      <c r="AH100" s="46" t="str">
        <f>SUBSTITUTE(R100," ","")</f>
        <v>kendisekariani@gmail.com</v>
      </c>
      <c r="AI100" s="46">
        <f>LEN(AH100)-LEN(SUBSTITUTE(AH100," ",""))</f>
        <v>0</v>
      </c>
    </row>
    <row r="101" spans="1:35" x14ac:dyDescent="0.25">
      <c r="A101" s="36">
        <v>94</v>
      </c>
      <c r="B101" s="53" t="s">
        <v>911</v>
      </c>
      <c r="C101" s="54" t="s">
        <v>912</v>
      </c>
      <c r="D101" s="55">
        <v>35289</v>
      </c>
      <c r="E101" s="54" t="s">
        <v>40</v>
      </c>
      <c r="F101" s="53"/>
      <c r="G101" s="54" t="s">
        <v>913</v>
      </c>
      <c r="H101" s="54"/>
      <c r="I101" s="54"/>
      <c r="J101" s="54" t="s">
        <v>914</v>
      </c>
      <c r="K101" s="54"/>
      <c r="L101" s="54"/>
      <c r="M101" s="54"/>
      <c r="N101" s="54"/>
      <c r="O101" s="54"/>
      <c r="P101" s="54"/>
      <c r="Q101" s="54" t="s">
        <v>915</v>
      </c>
      <c r="R101" s="57" t="s">
        <v>74</v>
      </c>
      <c r="S101" s="54" t="s">
        <v>916</v>
      </c>
      <c r="T101" s="54"/>
      <c r="U101" s="54"/>
      <c r="V101" s="55">
        <v>42366</v>
      </c>
      <c r="W101" s="54"/>
      <c r="X101" s="54"/>
      <c r="Y101" s="54" t="s">
        <v>85</v>
      </c>
      <c r="Z101" s="54"/>
      <c r="AA101" s="54"/>
      <c r="AB101" s="54"/>
      <c r="AC101" s="58">
        <v>43070</v>
      </c>
      <c r="AD101" s="7"/>
      <c r="AE101" s="7"/>
      <c r="AF101" s="46"/>
      <c r="AG101" s="47"/>
      <c r="AH101" s="46"/>
      <c r="AI101" s="46"/>
    </row>
    <row r="102" spans="1:35" x14ac:dyDescent="0.25">
      <c r="A102" s="36">
        <v>95</v>
      </c>
      <c r="B102" s="37" t="s">
        <v>917</v>
      </c>
      <c r="C102" s="38" t="s">
        <v>918</v>
      </c>
      <c r="D102" s="39">
        <v>35153</v>
      </c>
      <c r="E102" s="38" t="s">
        <v>95</v>
      </c>
      <c r="F102" s="38" t="s">
        <v>48</v>
      </c>
      <c r="G102" s="38" t="s">
        <v>919</v>
      </c>
      <c r="H102" s="38" t="s">
        <v>72</v>
      </c>
      <c r="I102" s="38" t="s">
        <v>114</v>
      </c>
      <c r="J102" s="41" t="s">
        <v>920</v>
      </c>
      <c r="K102" s="41" t="s">
        <v>921</v>
      </c>
      <c r="L102" s="41"/>
      <c r="M102" s="38" t="s">
        <v>99</v>
      </c>
      <c r="N102" s="43" t="s">
        <v>922</v>
      </c>
      <c r="O102" s="43" t="s">
        <v>164</v>
      </c>
      <c r="P102" s="41" t="s">
        <v>923</v>
      </c>
      <c r="Q102" s="41" t="s">
        <v>924</v>
      </c>
      <c r="R102" s="74" t="s">
        <v>925</v>
      </c>
      <c r="S102" s="38" t="s">
        <v>926</v>
      </c>
      <c r="T102" s="38" t="s">
        <v>927</v>
      </c>
      <c r="U102" s="38" t="s">
        <v>928</v>
      </c>
      <c r="V102" s="60">
        <v>42373</v>
      </c>
      <c r="W102" s="41" t="s">
        <v>929</v>
      </c>
      <c r="X102" s="38" t="s">
        <v>930</v>
      </c>
      <c r="Y102" s="38" t="s">
        <v>52</v>
      </c>
      <c r="Z102" s="38" t="s">
        <v>172</v>
      </c>
      <c r="AA102" s="38" t="s">
        <v>125</v>
      </c>
      <c r="AB102" s="38" t="s">
        <v>931</v>
      </c>
      <c r="AC102" s="45"/>
      <c r="AD102" s="7"/>
      <c r="AE102" s="7"/>
      <c r="AF102" s="46"/>
      <c r="AG102" s="47"/>
      <c r="AH102" s="46"/>
      <c r="AI102" s="46"/>
    </row>
    <row r="103" spans="1:35" x14ac:dyDescent="0.25">
      <c r="A103" s="36">
        <v>96</v>
      </c>
      <c r="B103" s="53" t="s">
        <v>932</v>
      </c>
      <c r="C103" s="54" t="s">
        <v>933</v>
      </c>
      <c r="D103" s="55">
        <v>35098</v>
      </c>
      <c r="E103" s="54" t="s">
        <v>40</v>
      </c>
      <c r="F103" s="53"/>
      <c r="G103" s="54" t="s">
        <v>934</v>
      </c>
      <c r="H103" s="54"/>
      <c r="I103" s="54"/>
      <c r="J103" s="54" t="s">
        <v>935</v>
      </c>
      <c r="K103" s="54"/>
      <c r="L103" s="54"/>
      <c r="M103" s="54"/>
      <c r="N103" s="54"/>
      <c r="O103" s="54"/>
      <c r="P103" s="54"/>
      <c r="Q103" s="54" t="s">
        <v>936</v>
      </c>
      <c r="R103" s="57" t="s">
        <v>74</v>
      </c>
      <c r="S103" s="54" t="s">
        <v>937</v>
      </c>
      <c r="T103" s="54"/>
      <c r="U103" s="54"/>
      <c r="V103" s="55">
        <v>42387</v>
      </c>
      <c r="W103" s="54"/>
      <c r="X103" s="54"/>
      <c r="Y103" s="54" t="s">
        <v>85</v>
      </c>
      <c r="Z103" s="54"/>
      <c r="AA103" s="54"/>
      <c r="AB103" s="54"/>
      <c r="AC103" s="58">
        <v>42917</v>
      </c>
      <c r="AD103" s="7"/>
      <c r="AE103" s="7"/>
      <c r="AF103" s="46"/>
      <c r="AG103" s="47"/>
      <c r="AH103" s="46"/>
      <c r="AI103" s="46"/>
    </row>
    <row r="104" spans="1:35" x14ac:dyDescent="0.25">
      <c r="A104" s="36">
        <v>97</v>
      </c>
      <c r="B104" s="37" t="s">
        <v>938</v>
      </c>
      <c r="C104" s="38" t="s">
        <v>94</v>
      </c>
      <c r="D104" s="39">
        <v>35684</v>
      </c>
      <c r="E104" s="38" t="s">
        <v>40</v>
      </c>
      <c r="F104" s="38" t="s">
        <v>129</v>
      </c>
      <c r="G104" s="38" t="s">
        <v>939</v>
      </c>
      <c r="H104" s="38" t="s">
        <v>72</v>
      </c>
      <c r="I104" s="38" t="s">
        <v>114</v>
      </c>
      <c r="J104" s="41" t="s">
        <v>940</v>
      </c>
      <c r="K104" s="41" t="s">
        <v>941</v>
      </c>
      <c r="L104" s="43"/>
      <c r="M104" s="38" t="s">
        <v>99</v>
      </c>
      <c r="N104" s="43" t="s">
        <v>942</v>
      </c>
      <c r="O104" s="43" t="s">
        <v>428</v>
      </c>
      <c r="P104" s="41" t="s">
        <v>943</v>
      </c>
      <c r="Q104" s="38"/>
      <c r="R104" s="50" t="s">
        <v>944</v>
      </c>
      <c r="S104" s="38" t="s">
        <v>945</v>
      </c>
      <c r="T104" s="38"/>
      <c r="U104" s="38"/>
      <c r="V104" s="60">
        <v>42394</v>
      </c>
      <c r="W104" s="41" t="s">
        <v>946</v>
      </c>
      <c r="X104" s="38" t="s">
        <v>947</v>
      </c>
      <c r="Y104" s="38" t="s">
        <v>52</v>
      </c>
      <c r="Z104" s="38" t="s">
        <v>948</v>
      </c>
      <c r="AA104" s="38" t="s">
        <v>777</v>
      </c>
      <c r="AB104" s="38" t="s">
        <v>778</v>
      </c>
      <c r="AC104" s="45"/>
      <c r="AD104" s="7"/>
      <c r="AE104" s="7"/>
      <c r="AF104" s="46" t="str">
        <f>IF(R104="","",RIGHT(R104,LEN(R104)-FIND("@",R104)))</f>
        <v>gmail.com</v>
      </c>
      <c r="AG104" s="47">
        <f>LEN(R104)-LEN(SUBSTITUTE(R104," ",""))</f>
        <v>0</v>
      </c>
      <c r="AH104" s="46" t="str">
        <f>SUBSTITUTE(R104," ","")</f>
        <v>adisugiantara330@gmail.com</v>
      </c>
      <c r="AI104" s="46">
        <f>LEN(AH104)-LEN(SUBSTITUTE(AH104," ",""))</f>
        <v>0</v>
      </c>
    </row>
    <row r="105" spans="1:35" x14ac:dyDescent="0.25">
      <c r="A105" s="48">
        <v>98</v>
      </c>
      <c r="B105" s="53" t="s">
        <v>949</v>
      </c>
      <c r="C105" s="54" t="s">
        <v>950</v>
      </c>
      <c r="D105" s="55">
        <v>35335</v>
      </c>
      <c r="E105" s="54" t="s">
        <v>95</v>
      </c>
      <c r="F105" s="53"/>
      <c r="G105" s="54" t="s">
        <v>951</v>
      </c>
      <c r="H105" s="54"/>
      <c r="I105" s="54"/>
      <c r="J105" s="54" t="s">
        <v>952</v>
      </c>
      <c r="K105" s="54"/>
      <c r="L105" s="54"/>
      <c r="M105" s="54" t="s">
        <v>99</v>
      </c>
      <c r="N105" s="54"/>
      <c r="O105" s="54"/>
      <c r="P105" s="54"/>
      <c r="Q105" s="54" t="s">
        <v>953</v>
      </c>
      <c r="R105" s="57" t="s">
        <v>74</v>
      </c>
      <c r="S105" s="54" t="s">
        <v>954</v>
      </c>
      <c r="T105" s="54"/>
      <c r="U105" s="54" t="s">
        <v>955</v>
      </c>
      <c r="V105" s="55">
        <v>42402</v>
      </c>
      <c r="W105" s="54"/>
      <c r="X105" s="54"/>
      <c r="Y105" s="54" t="s">
        <v>85</v>
      </c>
      <c r="Z105" s="54"/>
      <c r="AA105" s="54"/>
      <c r="AB105" s="54"/>
      <c r="AC105" s="58">
        <v>43722</v>
      </c>
      <c r="AD105" s="7"/>
      <c r="AE105" s="7"/>
      <c r="AF105" s="46"/>
      <c r="AG105" s="47"/>
      <c r="AH105" s="46"/>
      <c r="AI105" s="46"/>
    </row>
    <row r="106" spans="1:35" x14ac:dyDescent="0.25">
      <c r="A106" s="36">
        <v>99</v>
      </c>
      <c r="B106" s="53" t="s">
        <v>956</v>
      </c>
      <c r="C106" s="54" t="s">
        <v>328</v>
      </c>
      <c r="D106" s="55" t="s">
        <v>957</v>
      </c>
      <c r="E106" s="54" t="s">
        <v>95</v>
      </c>
      <c r="F106" s="53"/>
      <c r="G106" s="54" t="s">
        <v>958</v>
      </c>
      <c r="H106" s="54"/>
      <c r="I106" s="54"/>
      <c r="J106" s="54" t="s">
        <v>959</v>
      </c>
      <c r="K106" s="54"/>
      <c r="L106" s="54"/>
      <c r="M106" s="54" t="s">
        <v>99</v>
      </c>
      <c r="N106" s="54"/>
      <c r="O106" s="54"/>
      <c r="P106" s="54"/>
      <c r="Q106" s="54" t="s">
        <v>960</v>
      </c>
      <c r="R106" s="57" t="s">
        <v>74</v>
      </c>
      <c r="S106" s="54" t="s">
        <v>328</v>
      </c>
      <c r="T106" s="54"/>
      <c r="U106" s="54"/>
      <c r="V106" s="55">
        <v>42412</v>
      </c>
      <c r="W106" s="54"/>
      <c r="X106" s="54"/>
      <c r="Y106" s="54" t="s">
        <v>85</v>
      </c>
      <c r="Z106" s="54"/>
      <c r="AA106" s="54"/>
      <c r="AB106" s="54"/>
      <c r="AC106" s="58">
        <v>42909</v>
      </c>
      <c r="AD106" s="7"/>
      <c r="AE106" s="7"/>
      <c r="AF106" s="46"/>
      <c r="AG106" s="47"/>
      <c r="AH106" s="46"/>
      <c r="AI106" s="46"/>
    </row>
    <row r="107" spans="1:35" x14ac:dyDescent="0.25">
      <c r="A107" s="36">
        <v>100</v>
      </c>
      <c r="B107" s="37" t="s">
        <v>961</v>
      </c>
      <c r="C107" s="38" t="s">
        <v>962</v>
      </c>
      <c r="D107" s="39">
        <v>28361</v>
      </c>
      <c r="E107" s="38" t="s">
        <v>40</v>
      </c>
      <c r="F107" s="38" t="s">
        <v>129</v>
      </c>
      <c r="G107" s="38" t="s">
        <v>963</v>
      </c>
      <c r="H107" s="38" t="s">
        <v>72</v>
      </c>
      <c r="I107" s="38" t="s">
        <v>964</v>
      </c>
      <c r="J107" s="41" t="s">
        <v>965</v>
      </c>
      <c r="K107" s="41" t="s">
        <v>966</v>
      </c>
      <c r="L107" s="43"/>
      <c r="M107" s="38" t="s">
        <v>133</v>
      </c>
      <c r="N107" s="43" t="s">
        <v>967</v>
      </c>
      <c r="O107" s="43" t="s">
        <v>76</v>
      </c>
      <c r="P107" s="41" t="s">
        <v>968</v>
      </c>
      <c r="Q107" s="41" t="s">
        <v>969</v>
      </c>
      <c r="R107" s="50" t="s">
        <v>970</v>
      </c>
      <c r="S107" s="38" t="s">
        <v>971</v>
      </c>
      <c r="T107" s="38" t="s">
        <v>65</v>
      </c>
      <c r="U107" s="38" t="s">
        <v>972</v>
      </c>
      <c r="V107" s="60">
        <v>42422</v>
      </c>
      <c r="W107" s="41" t="s">
        <v>973</v>
      </c>
      <c r="X107" s="38" t="s">
        <v>974</v>
      </c>
      <c r="Y107" s="38" t="s">
        <v>52</v>
      </c>
      <c r="Z107" s="38" t="s">
        <v>898</v>
      </c>
      <c r="AA107" s="38" t="s">
        <v>777</v>
      </c>
      <c r="AB107" s="38" t="s">
        <v>778</v>
      </c>
      <c r="AC107" s="45"/>
      <c r="AD107" s="7"/>
      <c r="AE107" s="7"/>
      <c r="AF107" s="46"/>
      <c r="AG107" s="47"/>
      <c r="AH107" s="46"/>
      <c r="AI107" s="46"/>
    </row>
    <row r="108" spans="1:35" x14ac:dyDescent="0.25">
      <c r="A108" s="36">
        <v>101</v>
      </c>
      <c r="B108" s="53" t="s">
        <v>975</v>
      </c>
      <c r="C108" s="54" t="s">
        <v>976</v>
      </c>
      <c r="D108" s="55">
        <v>35287</v>
      </c>
      <c r="E108" s="54" t="s">
        <v>40</v>
      </c>
      <c r="F108" s="53"/>
      <c r="G108" s="54" t="s">
        <v>977</v>
      </c>
      <c r="H108" s="54"/>
      <c r="I108" s="54"/>
      <c r="J108" s="54" t="s">
        <v>978</v>
      </c>
      <c r="K108" s="54"/>
      <c r="L108" s="54"/>
      <c r="M108" s="54"/>
      <c r="N108" s="54"/>
      <c r="O108" s="54"/>
      <c r="P108" s="54"/>
      <c r="Q108" s="54" t="s">
        <v>979</v>
      </c>
      <c r="R108" s="57" t="s">
        <v>74</v>
      </c>
      <c r="S108" s="54" t="s">
        <v>980</v>
      </c>
      <c r="T108" s="54"/>
      <c r="U108" s="54"/>
      <c r="V108" s="55">
        <v>42440</v>
      </c>
      <c r="W108" s="54"/>
      <c r="X108" s="54"/>
      <c r="Y108" s="54" t="s">
        <v>85</v>
      </c>
      <c r="Z108" s="54"/>
      <c r="AA108" s="54"/>
      <c r="AB108" s="54"/>
      <c r="AC108" s="58">
        <v>42917</v>
      </c>
      <c r="AD108" s="7"/>
      <c r="AE108" s="7"/>
      <c r="AF108" s="46"/>
      <c r="AG108" s="47"/>
      <c r="AH108" s="46"/>
      <c r="AI108" s="46"/>
    </row>
    <row r="109" spans="1:35" x14ac:dyDescent="0.25">
      <c r="A109" s="36">
        <v>102</v>
      </c>
      <c r="B109" s="37" t="s">
        <v>981</v>
      </c>
      <c r="C109" s="38" t="s">
        <v>982</v>
      </c>
      <c r="D109" s="39">
        <v>34748</v>
      </c>
      <c r="E109" s="38" t="s">
        <v>40</v>
      </c>
      <c r="F109" s="40" t="s">
        <v>48</v>
      </c>
      <c r="G109" s="38" t="s">
        <v>983</v>
      </c>
      <c r="H109" s="38" t="s">
        <v>113</v>
      </c>
      <c r="I109" s="38" t="s">
        <v>44</v>
      </c>
      <c r="J109" s="41" t="s">
        <v>984</v>
      </c>
      <c r="K109" s="41" t="s">
        <v>985</v>
      </c>
      <c r="L109" s="43"/>
      <c r="M109" s="38" t="s">
        <v>133</v>
      </c>
      <c r="N109" s="41" t="s">
        <v>986</v>
      </c>
      <c r="O109" s="41" t="s">
        <v>76</v>
      </c>
      <c r="P109" s="41" t="s">
        <v>987</v>
      </c>
      <c r="Q109" s="41" t="s">
        <v>988</v>
      </c>
      <c r="R109" s="50" t="s">
        <v>989</v>
      </c>
      <c r="S109" s="38" t="s">
        <v>990</v>
      </c>
      <c r="T109" s="38" t="s">
        <v>613</v>
      </c>
      <c r="U109" s="40" t="s">
        <v>991</v>
      </c>
      <c r="V109" s="60">
        <v>42458</v>
      </c>
      <c r="W109" s="41" t="s">
        <v>992</v>
      </c>
      <c r="X109" s="38" t="s">
        <v>993</v>
      </c>
      <c r="Y109" s="38" t="s">
        <v>52</v>
      </c>
      <c r="Z109" s="38" t="s">
        <v>108</v>
      </c>
      <c r="AA109" s="38" t="s">
        <v>125</v>
      </c>
      <c r="AB109" s="38" t="s">
        <v>994</v>
      </c>
      <c r="AC109" s="45"/>
      <c r="AD109" s="7"/>
      <c r="AE109" s="7"/>
      <c r="AF109" s="46" t="str">
        <f>IF(R109="","",RIGHT(R109,LEN(R109)-FIND("@",R109)))</f>
        <v>gmail.com</v>
      </c>
      <c r="AG109" s="47">
        <f>LEN(R109)-LEN(SUBSTITUTE(R109," ",""))</f>
        <v>0</v>
      </c>
      <c r="AH109" s="46" t="str">
        <f>SUBSTITUTE(R109," ","")</f>
        <v>afandyramdan@gmail.com</v>
      </c>
      <c r="AI109" s="46">
        <f>LEN(AH109)-LEN(SUBSTITUTE(AH109," ",""))</f>
        <v>0</v>
      </c>
    </row>
    <row r="110" spans="1:35" x14ac:dyDescent="0.25">
      <c r="A110" s="36">
        <v>103</v>
      </c>
      <c r="B110" s="53" t="s">
        <v>995</v>
      </c>
      <c r="C110" s="54" t="s">
        <v>996</v>
      </c>
      <c r="D110" s="55">
        <v>35274</v>
      </c>
      <c r="E110" s="54" t="s">
        <v>40</v>
      </c>
      <c r="F110" s="53"/>
      <c r="G110" s="54" t="s">
        <v>997</v>
      </c>
      <c r="H110" s="54"/>
      <c r="I110" s="54"/>
      <c r="J110" s="54" t="s">
        <v>998</v>
      </c>
      <c r="K110" s="54"/>
      <c r="L110" s="54"/>
      <c r="M110" s="54"/>
      <c r="N110" s="54"/>
      <c r="O110" s="54"/>
      <c r="P110" s="54"/>
      <c r="Q110" s="54" t="s">
        <v>999</v>
      </c>
      <c r="R110" s="57" t="s">
        <v>74</v>
      </c>
      <c r="S110" s="54" t="s">
        <v>1000</v>
      </c>
      <c r="T110" s="54"/>
      <c r="U110" s="54"/>
      <c r="V110" s="55">
        <v>42464</v>
      </c>
      <c r="W110" s="54"/>
      <c r="X110" s="54"/>
      <c r="Y110" s="54" t="s">
        <v>85</v>
      </c>
      <c r="Z110" s="54"/>
      <c r="AA110" s="54"/>
      <c r="AB110" s="54"/>
      <c r="AC110" s="58">
        <v>43162</v>
      </c>
      <c r="AD110" s="7"/>
      <c r="AE110" s="7"/>
      <c r="AF110" s="46" t="str">
        <f>IF(R110="","",RIGHT(R110,LEN(R110)-FIND("@",R110)))</f>
        <v/>
      </c>
      <c r="AG110" s="47">
        <f>LEN(R110)-LEN(SUBSTITUTE(R110," ",""))</f>
        <v>0</v>
      </c>
      <c r="AH110" s="46" t="str">
        <f>SUBSTITUTE(R110," ","")</f>
        <v/>
      </c>
      <c r="AI110" s="46">
        <f>LEN(AH110)-LEN(SUBSTITUTE(AH110," ",""))</f>
        <v>0</v>
      </c>
    </row>
    <row r="111" spans="1:35" x14ac:dyDescent="0.25">
      <c r="A111" s="48">
        <v>104</v>
      </c>
      <c r="B111" s="53" t="s">
        <v>1001</v>
      </c>
      <c r="C111" s="54" t="s">
        <v>1002</v>
      </c>
      <c r="D111" s="55">
        <v>34983</v>
      </c>
      <c r="E111" s="54" t="s">
        <v>40</v>
      </c>
      <c r="F111" s="53"/>
      <c r="G111" s="54" t="s">
        <v>1003</v>
      </c>
      <c r="H111" s="54"/>
      <c r="I111" s="54"/>
      <c r="J111" s="54" t="s">
        <v>1004</v>
      </c>
      <c r="K111" s="54"/>
      <c r="L111" s="54"/>
      <c r="M111" s="54"/>
      <c r="N111" s="54"/>
      <c r="O111" s="54"/>
      <c r="P111" s="54"/>
      <c r="Q111" s="54" t="s">
        <v>1005</v>
      </c>
      <c r="R111" s="57" t="s">
        <v>74</v>
      </c>
      <c r="S111" s="54" t="s">
        <v>1006</v>
      </c>
      <c r="T111" s="54"/>
      <c r="U111" s="54"/>
      <c r="V111" s="55">
        <v>42466</v>
      </c>
      <c r="W111" s="54"/>
      <c r="X111" s="54"/>
      <c r="Y111" s="54" t="s">
        <v>85</v>
      </c>
      <c r="Z111" s="54"/>
      <c r="AA111" s="54"/>
      <c r="AB111" s="54"/>
      <c r="AC111" s="58">
        <v>42522</v>
      </c>
      <c r="AD111" s="7"/>
      <c r="AE111" s="7"/>
      <c r="AF111" s="46"/>
      <c r="AG111" s="47"/>
      <c r="AH111" s="46"/>
      <c r="AI111" s="46"/>
    </row>
    <row r="112" spans="1:35" x14ac:dyDescent="0.25">
      <c r="A112" s="36">
        <v>105</v>
      </c>
      <c r="B112" s="53" t="s">
        <v>1007</v>
      </c>
      <c r="C112" s="54" t="s">
        <v>1008</v>
      </c>
      <c r="D112" s="55">
        <v>34182</v>
      </c>
      <c r="E112" s="54" t="s">
        <v>40</v>
      </c>
      <c r="F112" s="53"/>
      <c r="G112" s="54" t="s">
        <v>1009</v>
      </c>
      <c r="H112" s="54"/>
      <c r="I112" s="54"/>
      <c r="J112" s="54" t="s">
        <v>1010</v>
      </c>
      <c r="K112" s="54"/>
      <c r="L112" s="54"/>
      <c r="M112" s="54"/>
      <c r="N112" s="54"/>
      <c r="O112" s="54"/>
      <c r="P112" s="54"/>
      <c r="Q112" s="54" t="s">
        <v>1011</v>
      </c>
      <c r="R112" s="57" t="s">
        <v>74</v>
      </c>
      <c r="S112" s="54" t="s">
        <v>1012</v>
      </c>
      <c r="T112" s="54"/>
      <c r="U112" s="54"/>
      <c r="V112" s="55">
        <v>42467</v>
      </c>
      <c r="W112" s="54"/>
      <c r="X112" s="54"/>
      <c r="Y112" s="54" t="s">
        <v>85</v>
      </c>
      <c r="Z112" s="54"/>
      <c r="AA112" s="54"/>
      <c r="AB112" s="54"/>
      <c r="AC112" s="58">
        <v>42522</v>
      </c>
      <c r="AD112" s="7"/>
      <c r="AE112" s="7"/>
      <c r="AF112" s="46" t="str">
        <f>IF(R112="","",RIGHT(R112,LEN(R112)-FIND("@",R112)))</f>
        <v/>
      </c>
      <c r="AG112" s="47">
        <f>LEN(R112)-LEN(SUBSTITUTE(R112," ",""))</f>
        <v>0</v>
      </c>
      <c r="AH112" s="46" t="str">
        <f>SUBSTITUTE(R112," ","")</f>
        <v/>
      </c>
      <c r="AI112" s="46">
        <f>LEN(AH112)-LEN(SUBSTITUTE(AH112," ",""))</f>
        <v>0</v>
      </c>
    </row>
    <row r="113" spans="1:35" x14ac:dyDescent="0.25">
      <c r="A113" s="36">
        <v>106</v>
      </c>
      <c r="B113" s="37" t="s">
        <v>1013</v>
      </c>
      <c r="C113" s="38" t="s">
        <v>548</v>
      </c>
      <c r="D113" s="39">
        <v>33720</v>
      </c>
      <c r="E113" s="38" t="s">
        <v>40</v>
      </c>
      <c r="F113" s="40" t="s">
        <v>48</v>
      </c>
      <c r="G113" s="38" t="s">
        <v>1014</v>
      </c>
      <c r="H113" s="38" t="s">
        <v>113</v>
      </c>
      <c r="I113" s="38" t="s">
        <v>44</v>
      </c>
      <c r="J113" s="41" t="s">
        <v>1015</v>
      </c>
      <c r="K113" s="41" t="s">
        <v>1016</v>
      </c>
      <c r="L113" s="41" t="s">
        <v>1017</v>
      </c>
      <c r="M113" s="38" t="s">
        <v>632</v>
      </c>
      <c r="N113" s="41" t="s">
        <v>1018</v>
      </c>
      <c r="O113" s="41" t="s">
        <v>76</v>
      </c>
      <c r="P113" s="41" t="s">
        <v>1019</v>
      </c>
      <c r="Q113" s="41" t="s">
        <v>1020</v>
      </c>
      <c r="R113" s="50" t="s">
        <v>1021</v>
      </c>
      <c r="S113" s="38" t="s">
        <v>1022</v>
      </c>
      <c r="T113" s="38" t="s">
        <v>1023</v>
      </c>
      <c r="U113" s="38">
        <v>85234499103</v>
      </c>
      <c r="V113" s="60">
        <v>42471</v>
      </c>
      <c r="W113" s="41" t="s">
        <v>1024</v>
      </c>
      <c r="X113" s="38" t="s">
        <v>1025</v>
      </c>
      <c r="Y113" s="38" t="s">
        <v>52</v>
      </c>
      <c r="Z113" s="38" t="s">
        <v>454</v>
      </c>
      <c r="AA113" s="38" t="s">
        <v>125</v>
      </c>
      <c r="AB113" s="38" t="s">
        <v>1026</v>
      </c>
      <c r="AC113" s="45"/>
      <c r="AD113" s="7"/>
      <c r="AE113" s="7"/>
      <c r="AF113" s="46"/>
      <c r="AG113" s="47"/>
      <c r="AH113" s="46"/>
      <c r="AI113" s="46"/>
    </row>
    <row r="114" spans="1:35" x14ac:dyDescent="0.25">
      <c r="A114" s="36">
        <v>107</v>
      </c>
      <c r="B114" s="53" t="s">
        <v>1027</v>
      </c>
      <c r="C114" s="54" t="s">
        <v>1028</v>
      </c>
      <c r="D114" s="55">
        <v>33715</v>
      </c>
      <c r="E114" s="54" t="s">
        <v>40</v>
      </c>
      <c r="F114" s="53"/>
      <c r="G114" s="54" t="s">
        <v>1029</v>
      </c>
      <c r="H114" s="54"/>
      <c r="I114" s="54"/>
      <c r="J114" s="54" t="s">
        <v>1030</v>
      </c>
      <c r="K114" s="54"/>
      <c r="L114" s="54"/>
      <c r="M114" s="54"/>
      <c r="N114" s="54"/>
      <c r="O114" s="54"/>
      <c r="P114" s="54"/>
      <c r="Q114" s="54" t="s">
        <v>1031</v>
      </c>
      <c r="R114" s="57" t="s">
        <v>74</v>
      </c>
      <c r="S114" s="54" t="s">
        <v>1032</v>
      </c>
      <c r="T114" s="54"/>
      <c r="U114" s="54" t="s">
        <v>1033</v>
      </c>
      <c r="V114" s="55">
        <v>42480</v>
      </c>
      <c r="W114" s="54"/>
      <c r="X114" s="54"/>
      <c r="Y114" s="54" t="s">
        <v>85</v>
      </c>
      <c r="Z114" s="54"/>
      <c r="AA114" s="54"/>
      <c r="AB114" s="54"/>
      <c r="AC114" s="58">
        <v>43475</v>
      </c>
      <c r="AD114" s="7"/>
      <c r="AE114" s="7"/>
      <c r="AF114" s="46" t="str">
        <f>IF(R114="","",RIGHT(R114,LEN(R114)-FIND("@",R114)))</f>
        <v/>
      </c>
      <c r="AG114" s="47">
        <f>LEN(R114)-LEN(SUBSTITUTE(R114," ",""))</f>
        <v>0</v>
      </c>
      <c r="AH114" s="46" t="str">
        <f>SUBSTITUTE(R114," ","")</f>
        <v/>
      </c>
      <c r="AI114" s="46">
        <f>LEN(AH114)-LEN(SUBSTITUTE(AH114," ",""))</f>
        <v>0</v>
      </c>
    </row>
    <row r="115" spans="1:35" x14ac:dyDescent="0.25">
      <c r="A115" s="36">
        <v>108</v>
      </c>
      <c r="B115" s="37" t="s">
        <v>1034</v>
      </c>
      <c r="C115" s="38" t="s">
        <v>1035</v>
      </c>
      <c r="D115" s="39">
        <v>30384</v>
      </c>
      <c r="E115" s="38" t="s">
        <v>95</v>
      </c>
      <c r="F115" s="40" t="s">
        <v>48</v>
      </c>
      <c r="G115" s="38" t="s">
        <v>1036</v>
      </c>
      <c r="H115" s="38" t="s">
        <v>113</v>
      </c>
      <c r="I115" s="38" t="s">
        <v>44</v>
      </c>
      <c r="J115" s="41" t="s">
        <v>1037</v>
      </c>
      <c r="K115" s="41" t="s">
        <v>1038</v>
      </c>
      <c r="L115" s="41"/>
      <c r="M115" s="38" t="s">
        <v>99</v>
      </c>
      <c r="N115" s="43" t="s">
        <v>1039</v>
      </c>
      <c r="O115" s="43" t="s">
        <v>76</v>
      </c>
      <c r="P115" s="43" t="s">
        <v>1040</v>
      </c>
      <c r="Q115" s="41"/>
      <c r="R115" s="50" t="s">
        <v>1041</v>
      </c>
      <c r="S115" s="38" t="s">
        <v>1042</v>
      </c>
      <c r="T115" s="38"/>
      <c r="U115" s="38"/>
      <c r="V115" s="60">
        <v>42492</v>
      </c>
      <c r="W115" s="41" t="s">
        <v>1043</v>
      </c>
      <c r="X115" s="38" t="s">
        <v>1044</v>
      </c>
      <c r="Y115" s="38" t="s">
        <v>52</v>
      </c>
      <c r="Z115" s="38" t="s">
        <v>396</v>
      </c>
      <c r="AA115" s="38" t="s">
        <v>397</v>
      </c>
      <c r="AB115" s="38" t="s">
        <v>55</v>
      </c>
      <c r="AC115" s="45"/>
      <c r="AD115" s="7"/>
      <c r="AE115" s="7"/>
      <c r="AF115" s="46" t="str">
        <f>IF(R115="","",RIGHT(R115,LEN(R115)-FIND("@",R115)))</f>
        <v>gmail.com</v>
      </c>
      <c r="AG115" s="47">
        <f>LEN(R115)-LEN(SUBSTITUTE(R115," ",""))</f>
        <v>0</v>
      </c>
      <c r="AH115" s="46" t="str">
        <f>SUBSTITUTE(R115," ","")</f>
        <v>kholifah.naisley@gmail.com</v>
      </c>
      <c r="AI115" s="46">
        <f>LEN(AH115)-LEN(SUBSTITUTE(AH115," ",""))</f>
        <v>0</v>
      </c>
    </row>
    <row r="116" spans="1:35" x14ac:dyDescent="0.25">
      <c r="A116" s="36">
        <v>109</v>
      </c>
      <c r="B116" s="37" t="s">
        <v>1045</v>
      </c>
      <c r="C116" s="38" t="s">
        <v>94</v>
      </c>
      <c r="D116" s="39">
        <v>34477</v>
      </c>
      <c r="E116" s="38" t="s">
        <v>95</v>
      </c>
      <c r="F116" s="38" t="s">
        <v>129</v>
      </c>
      <c r="G116" s="38" t="s">
        <v>1046</v>
      </c>
      <c r="H116" s="38" t="s">
        <v>72</v>
      </c>
      <c r="I116" s="38" t="s">
        <v>114</v>
      </c>
      <c r="J116" s="40" t="s">
        <v>1047</v>
      </c>
      <c r="K116" s="40" t="s">
        <v>1048</v>
      </c>
      <c r="L116" s="40"/>
      <c r="M116" s="38" t="s">
        <v>99</v>
      </c>
      <c r="N116" s="40" t="s">
        <v>1049</v>
      </c>
      <c r="O116" s="40" t="s">
        <v>76</v>
      </c>
      <c r="P116" s="40" t="s">
        <v>1050</v>
      </c>
      <c r="Q116" s="40" t="s">
        <v>1051</v>
      </c>
      <c r="R116" s="50" t="s">
        <v>1052</v>
      </c>
      <c r="S116" s="38" t="s">
        <v>1053</v>
      </c>
      <c r="T116" s="38" t="s">
        <v>392</v>
      </c>
      <c r="U116" s="40" t="s">
        <v>1054</v>
      </c>
      <c r="V116" s="60">
        <v>42495</v>
      </c>
      <c r="W116" s="65" t="s">
        <v>1055</v>
      </c>
      <c r="X116" s="38" t="s">
        <v>1056</v>
      </c>
      <c r="Y116" s="38" t="s">
        <v>52</v>
      </c>
      <c r="Z116" s="38" t="s">
        <v>1057</v>
      </c>
      <c r="AA116" s="38" t="s">
        <v>213</v>
      </c>
      <c r="AB116" s="38" t="s">
        <v>214</v>
      </c>
      <c r="AC116" s="45"/>
      <c r="AD116" s="7"/>
      <c r="AE116" s="7"/>
      <c r="AF116" s="46"/>
      <c r="AG116" s="47"/>
      <c r="AH116" s="46"/>
      <c r="AI116" s="46"/>
    </row>
    <row r="117" spans="1:35" x14ac:dyDescent="0.25">
      <c r="A117" s="48">
        <v>110</v>
      </c>
      <c r="B117" s="53" t="s">
        <v>1058</v>
      </c>
      <c r="C117" s="54" t="s">
        <v>1059</v>
      </c>
      <c r="D117" s="55">
        <v>35222</v>
      </c>
      <c r="E117" s="54" t="s">
        <v>40</v>
      </c>
      <c r="F117" s="53"/>
      <c r="G117" s="54" t="s">
        <v>1060</v>
      </c>
      <c r="H117" s="54"/>
      <c r="I117" s="54"/>
      <c r="J117" s="54" t="s">
        <v>1061</v>
      </c>
      <c r="K117" s="54"/>
      <c r="L117" s="54"/>
      <c r="M117" s="54"/>
      <c r="N117" s="54"/>
      <c r="O117" s="54"/>
      <c r="P117" s="54"/>
      <c r="Q117" s="54" t="s">
        <v>1062</v>
      </c>
      <c r="R117" s="57" t="s">
        <v>74</v>
      </c>
      <c r="S117" s="54" t="s">
        <v>1063</v>
      </c>
      <c r="T117" s="54"/>
      <c r="U117" s="54"/>
      <c r="V117" s="55">
        <v>42500</v>
      </c>
      <c r="W117" s="54"/>
      <c r="X117" s="54"/>
      <c r="Y117" s="54" t="s">
        <v>85</v>
      </c>
      <c r="Z117" s="54"/>
      <c r="AA117" s="54"/>
      <c r="AB117" s="54"/>
      <c r="AC117" s="58">
        <v>42552</v>
      </c>
      <c r="AD117" s="7"/>
      <c r="AE117" s="7"/>
      <c r="AF117" s="46"/>
      <c r="AG117" s="47"/>
      <c r="AH117" s="46"/>
      <c r="AI117" s="46"/>
    </row>
    <row r="118" spans="1:35" x14ac:dyDescent="0.25">
      <c r="A118" s="36">
        <v>111</v>
      </c>
      <c r="B118" s="53" t="s">
        <v>1064</v>
      </c>
      <c r="C118" s="54" t="s">
        <v>1065</v>
      </c>
      <c r="D118" s="55">
        <v>35801</v>
      </c>
      <c r="E118" s="54" t="s">
        <v>95</v>
      </c>
      <c r="F118" s="53"/>
      <c r="G118" s="54" t="s">
        <v>437</v>
      </c>
      <c r="H118" s="54"/>
      <c r="I118" s="54"/>
      <c r="J118" s="54" t="s">
        <v>1066</v>
      </c>
      <c r="K118" s="54"/>
      <c r="L118" s="54"/>
      <c r="M118" s="54" t="s">
        <v>99</v>
      </c>
      <c r="N118" s="54"/>
      <c r="O118" s="54"/>
      <c r="P118" s="54"/>
      <c r="Q118" s="54" t="s">
        <v>1067</v>
      </c>
      <c r="R118" s="57" t="s">
        <v>74</v>
      </c>
      <c r="S118" s="54" t="s">
        <v>1068</v>
      </c>
      <c r="T118" s="54"/>
      <c r="U118" s="54" t="s">
        <v>1069</v>
      </c>
      <c r="V118" s="55">
        <v>42513</v>
      </c>
      <c r="W118" s="54"/>
      <c r="X118" s="54"/>
      <c r="Y118" s="54" t="s">
        <v>85</v>
      </c>
      <c r="Z118" s="54"/>
      <c r="AA118" s="54"/>
      <c r="AB118" s="54"/>
      <c r="AC118" s="58">
        <v>43404</v>
      </c>
      <c r="AD118" s="7"/>
      <c r="AE118" s="7"/>
      <c r="AF118" s="46" t="str">
        <f>IF(R118="","",RIGHT(R118,LEN(R118)-FIND("@",R118)))</f>
        <v/>
      </c>
      <c r="AG118" s="47">
        <f>LEN(R118)-LEN(SUBSTITUTE(R118," ",""))</f>
        <v>0</v>
      </c>
      <c r="AH118" s="46" t="str">
        <f>SUBSTITUTE(R118," ","")</f>
        <v/>
      </c>
      <c r="AI118" s="46">
        <f>LEN(AH118)-LEN(SUBSTITUTE(AH118," ",""))</f>
        <v>0</v>
      </c>
    </row>
    <row r="119" spans="1:35" x14ac:dyDescent="0.25">
      <c r="A119" s="36">
        <v>112</v>
      </c>
      <c r="B119" s="53" t="s">
        <v>1070</v>
      </c>
      <c r="C119" s="54" t="s">
        <v>94</v>
      </c>
      <c r="D119" s="55">
        <v>35876</v>
      </c>
      <c r="E119" s="54" t="s">
        <v>95</v>
      </c>
      <c r="F119" s="53"/>
      <c r="G119" s="54" t="s">
        <v>1071</v>
      </c>
      <c r="H119" s="54"/>
      <c r="I119" s="54"/>
      <c r="J119" s="54" t="s">
        <v>1072</v>
      </c>
      <c r="K119" s="54"/>
      <c r="L119" s="54"/>
      <c r="M119" s="54" t="s">
        <v>99</v>
      </c>
      <c r="N119" s="54"/>
      <c r="O119" s="54"/>
      <c r="P119" s="54"/>
      <c r="Q119" s="54" t="s">
        <v>1073</v>
      </c>
      <c r="R119" s="57" t="s">
        <v>74</v>
      </c>
      <c r="S119" s="54" t="s">
        <v>1074</v>
      </c>
      <c r="T119" s="54"/>
      <c r="U119" s="54" t="s">
        <v>1075</v>
      </c>
      <c r="V119" s="55">
        <v>42513</v>
      </c>
      <c r="W119" s="54"/>
      <c r="X119" s="54"/>
      <c r="Y119" s="54" t="s">
        <v>85</v>
      </c>
      <c r="Z119" s="54"/>
      <c r="AA119" s="54"/>
      <c r="AB119" s="54"/>
      <c r="AC119" s="58">
        <v>43798</v>
      </c>
      <c r="AD119" s="7"/>
      <c r="AE119" s="7"/>
      <c r="AF119" s="46" t="str">
        <f>IF(R119="","",RIGHT(R119,LEN(R119)-FIND("@",R119)))</f>
        <v/>
      </c>
      <c r="AG119" s="47">
        <f>LEN(R119)-LEN(SUBSTITUTE(R119," ",""))</f>
        <v>0</v>
      </c>
      <c r="AH119" s="46" t="str">
        <f>SUBSTITUTE(R119," ","")</f>
        <v/>
      </c>
      <c r="AI119" s="46">
        <f>LEN(AH119)-LEN(SUBSTITUTE(AH119," ",""))</f>
        <v>0</v>
      </c>
    </row>
    <row r="120" spans="1:35" x14ac:dyDescent="0.25">
      <c r="A120" s="36">
        <v>113</v>
      </c>
      <c r="B120" s="53" t="s">
        <v>1076</v>
      </c>
      <c r="C120" s="54" t="s">
        <v>1077</v>
      </c>
      <c r="D120" s="55">
        <v>34789</v>
      </c>
      <c r="E120" s="54" t="s">
        <v>40</v>
      </c>
      <c r="F120" s="53"/>
      <c r="G120" s="54" t="s">
        <v>1078</v>
      </c>
      <c r="H120" s="54"/>
      <c r="I120" s="54"/>
      <c r="J120" s="54" t="s">
        <v>1079</v>
      </c>
      <c r="K120" s="54"/>
      <c r="L120" s="54"/>
      <c r="M120" s="54"/>
      <c r="N120" s="54"/>
      <c r="O120" s="54"/>
      <c r="P120" s="54"/>
      <c r="Q120" s="54" t="s">
        <v>1080</v>
      </c>
      <c r="R120" s="57" t="s">
        <v>74</v>
      </c>
      <c r="S120" s="54" t="s">
        <v>1078</v>
      </c>
      <c r="T120" s="54"/>
      <c r="U120" s="54"/>
      <c r="V120" s="55">
        <v>42514</v>
      </c>
      <c r="W120" s="54"/>
      <c r="X120" s="54"/>
      <c r="Y120" s="54" t="s">
        <v>85</v>
      </c>
      <c r="Z120" s="54"/>
      <c r="AA120" s="54"/>
      <c r="AB120" s="54"/>
      <c r="AC120" s="58">
        <v>42737</v>
      </c>
      <c r="AD120" s="7"/>
      <c r="AE120" s="7"/>
      <c r="AF120" s="46" t="str">
        <f>IF(R120="","",RIGHT(R120,LEN(R120)-FIND("@",R120)))</f>
        <v/>
      </c>
      <c r="AG120" s="47">
        <f>LEN(R120)-LEN(SUBSTITUTE(R120," ",""))</f>
        <v>0</v>
      </c>
      <c r="AH120" s="46" t="str">
        <f>SUBSTITUTE(R120," ","")</f>
        <v/>
      </c>
      <c r="AI120" s="46">
        <f>LEN(AH120)-LEN(SUBSTITUTE(AH120," ",""))</f>
        <v>0</v>
      </c>
    </row>
    <row r="121" spans="1:35" x14ac:dyDescent="0.25">
      <c r="A121" s="36">
        <v>114</v>
      </c>
      <c r="B121" s="53" t="s">
        <v>1081</v>
      </c>
      <c r="C121" s="54" t="s">
        <v>94</v>
      </c>
      <c r="D121" s="55">
        <v>35920</v>
      </c>
      <c r="E121" s="54" t="s">
        <v>40</v>
      </c>
      <c r="F121" s="53"/>
      <c r="G121" s="54" t="s">
        <v>1082</v>
      </c>
      <c r="H121" s="54"/>
      <c r="I121" s="54"/>
      <c r="J121" s="54" t="s">
        <v>1083</v>
      </c>
      <c r="K121" s="54"/>
      <c r="L121" s="54"/>
      <c r="M121" s="54"/>
      <c r="N121" s="54"/>
      <c r="O121" s="54"/>
      <c r="P121" s="54"/>
      <c r="Q121" s="54" t="s">
        <v>1084</v>
      </c>
      <c r="R121" s="57" t="s">
        <v>74</v>
      </c>
      <c r="S121" s="54" t="s">
        <v>1082</v>
      </c>
      <c r="T121" s="54"/>
      <c r="U121" s="54"/>
      <c r="V121" s="55">
        <v>42520</v>
      </c>
      <c r="W121" s="54"/>
      <c r="X121" s="54"/>
      <c r="Y121" s="54" t="s">
        <v>85</v>
      </c>
      <c r="Z121" s="54"/>
      <c r="AA121" s="54"/>
      <c r="AB121" s="54"/>
      <c r="AC121" s="58"/>
      <c r="AD121" s="7"/>
      <c r="AE121" s="7"/>
      <c r="AF121" s="46"/>
      <c r="AG121" s="47"/>
      <c r="AH121" s="46"/>
      <c r="AI121" s="46"/>
    </row>
    <row r="122" spans="1:35" x14ac:dyDescent="0.25">
      <c r="A122" s="36">
        <v>115</v>
      </c>
      <c r="B122" s="37" t="s">
        <v>1085</v>
      </c>
      <c r="C122" s="38" t="s">
        <v>94</v>
      </c>
      <c r="D122" s="39">
        <v>35879</v>
      </c>
      <c r="E122" s="38" t="s">
        <v>95</v>
      </c>
      <c r="F122" s="38" t="s">
        <v>304</v>
      </c>
      <c r="G122" s="38" t="s">
        <v>1086</v>
      </c>
      <c r="H122" s="38" t="s">
        <v>72</v>
      </c>
      <c r="I122" s="38" t="s">
        <v>114</v>
      </c>
      <c r="J122" s="40" t="s">
        <v>1087</v>
      </c>
      <c r="K122" s="40" t="s">
        <v>1088</v>
      </c>
      <c r="L122" s="40"/>
      <c r="M122" s="38" t="s">
        <v>99</v>
      </c>
      <c r="N122" s="43" t="s">
        <v>1089</v>
      </c>
      <c r="O122" s="43" t="s">
        <v>76</v>
      </c>
      <c r="P122" s="40" t="s">
        <v>1090</v>
      </c>
      <c r="Q122" s="40" t="s">
        <v>1091</v>
      </c>
      <c r="R122" s="50" t="s">
        <v>1092</v>
      </c>
      <c r="S122" s="38" t="s">
        <v>1093</v>
      </c>
      <c r="T122" s="38" t="s">
        <v>450</v>
      </c>
      <c r="U122" s="40" t="s">
        <v>1094</v>
      </c>
      <c r="V122" s="60">
        <v>42522</v>
      </c>
      <c r="W122" s="65" t="s">
        <v>1095</v>
      </c>
      <c r="X122" s="38" t="s">
        <v>1096</v>
      </c>
      <c r="Y122" s="38" t="s">
        <v>52</v>
      </c>
      <c r="Z122" s="38" t="s">
        <v>396</v>
      </c>
      <c r="AA122" s="38" t="s">
        <v>397</v>
      </c>
      <c r="AB122" s="38" t="s">
        <v>55</v>
      </c>
      <c r="AC122" s="45"/>
      <c r="AD122" s="7"/>
      <c r="AE122" s="7"/>
      <c r="AF122" s="46"/>
      <c r="AG122" s="47"/>
      <c r="AH122" s="46"/>
      <c r="AI122" s="46"/>
    </row>
    <row r="123" spans="1:35" x14ac:dyDescent="0.25">
      <c r="A123" s="48">
        <v>116</v>
      </c>
      <c r="B123" s="53" t="s">
        <v>1097</v>
      </c>
      <c r="C123" s="54" t="s">
        <v>1098</v>
      </c>
      <c r="D123" s="55">
        <v>33569</v>
      </c>
      <c r="E123" s="54" t="s">
        <v>40</v>
      </c>
      <c r="F123" s="53"/>
      <c r="G123" s="54" t="s">
        <v>1099</v>
      </c>
      <c r="H123" s="54"/>
      <c r="I123" s="54"/>
      <c r="J123" s="54" t="s">
        <v>48</v>
      </c>
      <c r="K123" s="54"/>
      <c r="L123" s="54"/>
      <c r="M123" s="54"/>
      <c r="N123" s="54"/>
      <c r="O123" s="54"/>
      <c r="P123" s="54"/>
      <c r="Q123" s="54" t="s">
        <v>1100</v>
      </c>
      <c r="R123" s="57" t="s">
        <v>74</v>
      </c>
      <c r="S123" s="54" t="s">
        <v>1099</v>
      </c>
      <c r="T123" s="54"/>
      <c r="U123" s="54"/>
      <c r="V123" s="55">
        <v>42523</v>
      </c>
      <c r="W123" s="54"/>
      <c r="X123" s="54"/>
      <c r="Y123" s="54" t="s">
        <v>85</v>
      </c>
      <c r="Z123" s="54"/>
      <c r="AA123" s="54"/>
      <c r="AB123" s="54"/>
      <c r="AC123" s="58"/>
      <c r="AD123" s="7"/>
      <c r="AE123" s="7"/>
      <c r="AF123" s="46" t="str">
        <f>IF(R123="","",RIGHT(R123,LEN(R123)-FIND("@",R123)))</f>
        <v/>
      </c>
      <c r="AG123" s="47">
        <f>LEN(R123)-LEN(SUBSTITUTE(R123," ",""))</f>
        <v>0</v>
      </c>
      <c r="AH123" s="46" t="str">
        <f>SUBSTITUTE(R123," ","")</f>
        <v/>
      </c>
      <c r="AI123" s="46">
        <f>LEN(AH123)-LEN(SUBSTITUTE(AH123," ",""))</f>
        <v>0</v>
      </c>
    </row>
    <row r="124" spans="1:35" x14ac:dyDescent="0.25">
      <c r="A124" s="36">
        <v>117</v>
      </c>
      <c r="B124" s="53" t="s">
        <v>1101</v>
      </c>
      <c r="C124" s="54" t="s">
        <v>1102</v>
      </c>
      <c r="D124" s="55">
        <v>33569</v>
      </c>
      <c r="E124" s="54" t="s">
        <v>40</v>
      </c>
      <c r="F124" s="53"/>
      <c r="G124" s="54" t="s">
        <v>1103</v>
      </c>
      <c r="H124" s="54"/>
      <c r="I124" s="54"/>
      <c r="J124" s="54" t="s">
        <v>1104</v>
      </c>
      <c r="K124" s="54"/>
      <c r="L124" s="54"/>
      <c r="M124" s="54"/>
      <c r="N124" s="54"/>
      <c r="O124" s="54"/>
      <c r="P124" s="54"/>
      <c r="Q124" s="54" t="s">
        <v>1105</v>
      </c>
      <c r="R124" s="57" t="s">
        <v>74</v>
      </c>
      <c r="S124" s="54" t="s">
        <v>1106</v>
      </c>
      <c r="T124" s="54"/>
      <c r="U124" s="54"/>
      <c r="V124" s="55">
        <v>42527</v>
      </c>
      <c r="W124" s="54"/>
      <c r="X124" s="54"/>
      <c r="Y124" s="54" t="s">
        <v>85</v>
      </c>
      <c r="Z124" s="54"/>
      <c r="AA124" s="54"/>
      <c r="AB124" s="54"/>
      <c r="AC124" s="58"/>
      <c r="AD124" s="7"/>
      <c r="AE124" s="7"/>
      <c r="AF124" s="46" t="str">
        <f>IF(R124="","",RIGHT(R124,LEN(R124)-FIND("@",R124)))</f>
        <v/>
      </c>
      <c r="AG124" s="47">
        <f>LEN(R124)-LEN(SUBSTITUTE(R124," ",""))</f>
        <v>0</v>
      </c>
      <c r="AH124" s="46" t="str">
        <f>SUBSTITUTE(R124," ","")</f>
        <v/>
      </c>
      <c r="AI124" s="46">
        <f>LEN(AH124)-LEN(SUBSTITUTE(AH124," ",""))</f>
        <v>0</v>
      </c>
    </row>
    <row r="125" spans="1:35" x14ac:dyDescent="0.25">
      <c r="A125" s="36">
        <v>118</v>
      </c>
      <c r="B125" s="53" t="s">
        <v>1107</v>
      </c>
      <c r="C125" s="54" t="s">
        <v>1108</v>
      </c>
      <c r="D125" s="55">
        <v>34031</v>
      </c>
      <c r="E125" s="54" t="s">
        <v>40</v>
      </c>
      <c r="F125" s="53"/>
      <c r="G125" s="54" t="s">
        <v>1109</v>
      </c>
      <c r="H125" s="54"/>
      <c r="I125" s="54"/>
      <c r="J125" s="54" t="s">
        <v>1110</v>
      </c>
      <c r="K125" s="54"/>
      <c r="L125" s="54"/>
      <c r="M125" s="54"/>
      <c r="N125" s="54"/>
      <c r="O125" s="54"/>
      <c r="P125" s="54"/>
      <c r="Q125" s="54" t="s">
        <v>1111</v>
      </c>
      <c r="R125" s="57" t="s">
        <v>74</v>
      </c>
      <c r="S125" s="54" t="s">
        <v>1109</v>
      </c>
      <c r="T125" s="54"/>
      <c r="U125" s="54"/>
      <c r="V125" s="55">
        <v>42528</v>
      </c>
      <c r="W125" s="54"/>
      <c r="X125" s="54"/>
      <c r="Y125" s="54" t="s">
        <v>85</v>
      </c>
      <c r="Z125" s="54"/>
      <c r="AA125" s="54"/>
      <c r="AB125" s="54"/>
      <c r="AC125" s="58">
        <v>42795</v>
      </c>
      <c r="AD125" s="7"/>
      <c r="AE125" s="7"/>
      <c r="AF125" s="46"/>
      <c r="AG125" s="47"/>
      <c r="AH125" s="46"/>
      <c r="AI125" s="46"/>
    </row>
    <row r="126" spans="1:35" x14ac:dyDescent="0.25">
      <c r="A126" s="36">
        <v>119</v>
      </c>
      <c r="B126" s="53" t="s">
        <v>1112</v>
      </c>
      <c r="C126" s="54" t="s">
        <v>1113</v>
      </c>
      <c r="D126" s="55">
        <v>35643</v>
      </c>
      <c r="E126" s="54" t="s">
        <v>95</v>
      </c>
      <c r="F126" s="53"/>
      <c r="G126" s="54" t="s">
        <v>1114</v>
      </c>
      <c r="H126" s="54"/>
      <c r="I126" s="54"/>
      <c r="J126" s="54" t="s">
        <v>1115</v>
      </c>
      <c r="K126" s="54"/>
      <c r="L126" s="54"/>
      <c r="M126" s="54" t="s">
        <v>99</v>
      </c>
      <c r="N126" s="54"/>
      <c r="O126" s="54"/>
      <c r="P126" s="54"/>
      <c r="Q126" s="54" t="s">
        <v>1116</v>
      </c>
      <c r="R126" s="57" t="s">
        <v>74</v>
      </c>
      <c r="S126" s="54" t="s">
        <v>1117</v>
      </c>
      <c r="T126" s="54"/>
      <c r="U126" s="54"/>
      <c r="V126" s="55">
        <v>42534</v>
      </c>
      <c r="W126" s="54"/>
      <c r="X126" s="54"/>
      <c r="Y126" s="54" t="s">
        <v>85</v>
      </c>
      <c r="Z126" s="54"/>
      <c r="AA126" s="54"/>
      <c r="AB126" s="54"/>
      <c r="AC126" s="58">
        <v>43009</v>
      </c>
      <c r="AD126" s="7"/>
      <c r="AE126" s="7"/>
      <c r="AF126" s="46" t="str">
        <f>IF(R126="","",RIGHT(R126,LEN(R126)-FIND("@",R126)))</f>
        <v/>
      </c>
      <c r="AG126" s="47">
        <f>LEN(R126)-LEN(SUBSTITUTE(R126," ",""))</f>
        <v>0</v>
      </c>
      <c r="AH126" s="46" t="str">
        <f>SUBSTITUTE(R126," ","")</f>
        <v/>
      </c>
      <c r="AI126" s="46">
        <f>LEN(AH126)-LEN(SUBSTITUTE(AH126," ",""))</f>
        <v>0</v>
      </c>
    </row>
    <row r="127" spans="1:35" x14ac:dyDescent="0.25">
      <c r="A127" s="36">
        <v>120</v>
      </c>
      <c r="B127" s="53" t="s">
        <v>1118</v>
      </c>
      <c r="C127" s="54" t="s">
        <v>1113</v>
      </c>
      <c r="D127" s="55">
        <v>35769</v>
      </c>
      <c r="E127" s="54" t="s">
        <v>95</v>
      </c>
      <c r="F127" s="53"/>
      <c r="G127" s="54" t="s">
        <v>1119</v>
      </c>
      <c r="H127" s="54"/>
      <c r="I127" s="54"/>
      <c r="J127" s="54" t="s">
        <v>1120</v>
      </c>
      <c r="K127" s="54"/>
      <c r="L127" s="54"/>
      <c r="M127" s="54" t="s">
        <v>99</v>
      </c>
      <c r="N127" s="54"/>
      <c r="O127" s="54"/>
      <c r="P127" s="54"/>
      <c r="Q127" s="54" t="s">
        <v>1121</v>
      </c>
      <c r="R127" s="57" t="s">
        <v>74</v>
      </c>
      <c r="S127" s="54" t="s">
        <v>1122</v>
      </c>
      <c r="T127" s="54"/>
      <c r="U127" s="54" t="s">
        <v>1123</v>
      </c>
      <c r="V127" s="55">
        <v>42534</v>
      </c>
      <c r="W127" s="54"/>
      <c r="X127" s="54"/>
      <c r="Y127" s="54" t="s">
        <v>85</v>
      </c>
      <c r="Z127" s="54"/>
      <c r="AA127" s="54"/>
      <c r="AB127" s="54"/>
      <c r="AC127" s="58">
        <v>43525</v>
      </c>
      <c r="AD127" s="7"/>
      <c r="AE127" s="7"/>
      <c r="AF127" s="46" t="str">
        <f>IF(R127="","",RIGHT(R127,LEN(R127)-FIND("@",R127)))</f>
        <v/>
      </c>
      <c r="AG127" s="47">
        <f>LEN(R127)-LEN(SUBSTITUTE(R127," ",""))</f>
        <v>0</v>
      </c>
      <c r="AH127" s="46" t="str">
        <f>SUBSTITUTE(R127," ","")</f>
        <v/>
      </c>
      <c r="AI127" s="46">
        <f>LEN(AH127)-LEN(SUBSTITUTE(AH127," ",""))</f>
        <v>0</v>
      </c>
    </row>
    <row r="128" spans="1:35" x14ac:dyDescent="0.25">
      <c r="A128" s="36">
        <v>121</v>
      </c>
      <c r="B128" s="53" t="s">
        <v>1124</v>
      </c>
      <c r="C128" s="54" t="s">
        <v>1125</v>
      </c>
      <c r="D128" s="55">
        <v>34203</v>
      </c>
      <c r="E128" s="54" t="s">
        <v>40</v>
      </c>
      <c r="F128" s="53"/>
      <c r="G128" s="54" t="s">
        <v>1126</v>
      </c>
      <c r="H128" s="54"/>
      <c r="I128" s="54"/>
      <c r="J128" s="54" t="s">
        <v>1127</v>
      </c>
      <c r="K128" s="54"/>
      <c r="L128" s="54"/>
      <c r="M128" s="54"/>
      <c r="N128" s="54"/>
      <c r="O128" s="54"/>
      <c r="P128" s="54"/>
      <c r="Q128" s="54" t="s">
        <v>1128</v>
      </c>
      <c r="R128" s="57" t="s">
        <v>74</v>
      </c>
      <c r="S128" s="54" t="s">
        <v>1126</v>
      </c>
      <c r="T128" s="54"/>
      <c r="U128" s="54"/>
      <c r="V128" s="55">
        <v>42539</v>
      </c>
      <c r="W128" s="54"/>
      <c r="X128" s="54"/>
      <c r="Y128" s="54" t="s">
        <v>85</v>
      </c>
      <c r="Z128" s="54"/>
      <c r="AA128" s="54"/>
      <c r="AB128" s="54"/>
      <c r="AC128" s="58"/>
      <c r="AD128" s="7"/>
      <c r="AE128" s="7"/>
      <c r="AF128" s="46"/>
      <c r="AG128" s="47"/>
      <c r="AH128" s="46"/>
      <c r="AI128" s="46"/>
    </row>
    <row r="129" spans="1:35" x14ac:dyDescent="0.25">
      <c r="A129" s="48">
        <v>122</v>
      </c>
      <c r="B129" s="37" t="s">
        <v>1129</v>
      </c>
      <c r="C129" s="38" t="s">
        <v>1130</v>
      </c>
      <c r="D129" s="39">
        <v>34822</v>
      </c>
      <c r="E129" s="38" t="s">
        <v>40</v>
      </c>
      <c r="F129" s="40" t="s">
        <v>48</v>
      </c>
      <c r="G129" s="38" t="s">
        <v>1131</v>
      </c>
      <c r="H129" s="38" t="s">
        <v>72</v>
      </c>
      <c r="I129" s="38" t="s">
        <v>114</v>
      </c>
      <c r="J129" s="41" t="s">
        <v>1132</v>
      </c>
      <c r="K129" s="41" t="s">
        <v>1133</v>
      </c>
      <c r="L129" s="43"/>
      <c r="M129" s="38" t="s">
        <v>99</v>
      </c>
      <c r="N129" s="41" t="s">
        <v>1134</v>
      </c>
      <c r="O129" s="41" t="s">
        <v>147</v>
      </c>
      <c r="P129" s="41" t="s">
        <v>289</v>
      </c>
      <c r="Q129" s="43" t="s">
        <v>1135</v>
      </c>
      <c r="R129" s="50" t="s">
        <v>1136</v>
      </c>
      <c r="S129" s="38" t="s">
        <v>1137</v>
      </c>
      <c r="T129" s="38" t="s">
        <v>1138</v>
      </c>
      <c r="U129" s="40" t="s">
        <v>1139</v>
      </c>
      <c r="V129" s="60">
        <v>42541</v>
      </c>
      <c r="W129" s="43" t="s">
        <v>1140</v>
      </c>
      <c r="X129" s="38" t="s">
        <v>1141</v>
      </c>
      <c r="Y129" s="38" t="s">
        <v>52</v>
      </c>
      <c r="Z129" s="38" t="s">
        <v>1142</v>
      </c>
      <c r="AA129" s="38" t="s">
        <v>125</v>
      </c>
      <c r="AB129" s="38" t="s">
        <v>931</v>
      </c>
      <c r="AC129" s="45"/>
      <c r="AD129" s="7"/>
      <c r="AE129" s="7" t="s">
        <v>1</v>
      </c>
      <c r="AF129" s="46" t="str">
        <f>IF(R129="","",RIGHT(R129,LEN(R129)-FIND("@",R129)))</f>
        <v>gmail.com</v>
      </c>
      <c r="AG129" s="47">
        <f>LEN(R129)-LEN(SUBSTITUTE(R129," ",""))</f>
        <v>0</v>
      </c>
      <c r="AH129" s="46" t="str">
        <f>SUBSTITUTE(R129," ","")</f>
        <v>dekano05@gmail.com</v>
      </c>
      <c r="AI129" s="46">
        <f>LEN(AH129)-LEN(SUBSTITUTE(AH129," ",""))</f>
        <v>0</v>
      </c>
    </row>
    <row r="130" spans="1:35" x14ac:dyDescent="0.25">
      <c r="A130" s="36">
        <v>123</v>
      </c>
      <c r="B130" s="53" t="s">
        <v>1143</v>
      </c>
      <c r="C130" s="54"/>
      <c r="D130" s="75"/>
      <c r="E130" s="54" t="s">
        <v>40</v>
      </c>
      <c r="F130" s="53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7" t="s">
        <v>74</v>
      </c>
      <c r="S130" s="54"/>
      <c r="T130" s="54"/>
      <c r="U130" s="54"/>
      <c r="V130" s="55">
        <v>42556</v>
      </c>
      <c r="W130" s="54"/>
      <c r="X130" s="54"/>
      <c r="Y130" s="54" t="s">
        <v>85</v>
      </c>
      <c r="Z130" s="54"/>
      <c r="AA130" s="54"/>
      <c r="AB130" s="54"/>
      <c r="AC130" s="58">
        <v>42644</v>
      </c>
      <c r="AD130" s="7"/>
      <c r="AE130" s="7"/>
      <c r="AF130" s="46"/>
      <c r="AG130" s="47"/>
      <c r="AH130" s="46"/>
      <c r="AI130" s="46"/>
    </row>
    <row r="131" spans="1:35" x14ac:dyDescent="0.25">
      <c r="A131" s="36">
        <v>124</v>
      </c>
      <c r="B131" s="53" t="s">
        <v>1144</v>
      </c>
      <c r="C131" s="54"/>
      <c r="D131" s="75"/>
      <c r="E131" s="54" t="s">
        <v>40</v>
      </c>
      <c r="F131" s="53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 t="s">
        <v>1145</v>
      </c>
      <c r="R131" s="57" t="s">
        <v>74</v>
      </c>
      <c r="S131" s="54"/>
      <c r="T131" s="54"/>
      <c r="U131" s="54"/>
      <c r="V131" s="55">
        <v>42556</v>
      </c>
      <c r="W131" s="54"/>
      <c r="X131" s="54"/>
      <c r="Y131" s="54" t="s">
        <v>85</v>
      </c>
      <c r="Z131" s="54"/>
      <c r="AA131" s="54"/>
      <c r="AB131" s="54"/>
      <c r="AC131" s="58">
        <v>42795</v>
      </c>
      <c r="AD131" s="7"/>
      <c r="AE131" s="7"/>
      <c r="AF131" s="46"/>
      <c r="AG131" s="47"/>
      <c r="AH131" s="46"/>
      <c r="AI131" s="46"/>
    </row>
    <row r="132" spans="1:35" x14ac:dyDescent="0.25">
      <c r="A132" s="36">
        <v>125</v>
      </c>
      <c r="B132" s="53" t="s">
        <v>1146</v>
      </c>
      <c r="C132" s="54" t="s">
        <v>1147</v>
      </c>
      <c r="D132" s="55">
        <v>34642</v>
      </c>
      <c r="E132" s="54" t="s">
        <v>40</v>
      </c>
      <c r="F132" s="53"/>
      <c r="G132" s="54" t="s">
        <v>1148</v>
      </c>
      <c r="H132" s="54"/>
      <c r="I132" s="54"/>
      <c r="J132" s="54" t="s">
        <v>1149</v>
      </c>
      <c r="K132" s="54"/>
      <c r="L132" s="54"/>
      <c r="M132" s="54"/>
      <c r="N132" s="54"/>
      <c r="O132" s="54"/>
      <c r="P132" s="54"/>
      <c r="Q132" s="54" t="s">
        <v>1150</v>
      </c>
      <c r="R132" s="57" t="s">
        <v>74</v>
      </c>
      <c r="S132" s="54" t="s">
        <v>1151</v>
      </c>
      <c r="T132" s="54"/>
      <c r="U132" s="54"/>
      <c r="V132" s="55">
        <v>42568</v>
      </c>
      <c r="W132" s="54"/>
      <c r="X132" s="54"/>
      <c r="Y132" s="54" t="s">
        <v>85</v>
      </c>
      <c r="Z132" s="54"/>
      <c r="AA132" s="54"/>
      <c r="AB132" s="54"/>
      <c r="AC132" s="58"/>
      <c r="AD132" s="7"/>
      <c r="AE132" s="7"/>
      <c r="AF132" s="46"/>
      <c r="AG132" s="47"/>
      <c r="AH132" s="46"/>
      <c r="AI132" s="46"/>
    </row>
    <row r="133" spans="1:35" x14ac:dyDescent="0.25">
      <c r="A133" s="36">
        <v>126</v>
      </c>
      <c r="B133" s="37" t="s">
        <v>1152</v>
      </c>
      <c r="C133" s="38" t="s">
        <v>328</v>
      </c>
      <c r="D133" s="39">
        <v>36084</v>
      </c>
      <c r="E133" s="38" t="s">
        <v>95</v>
      </c>
      <c r="F133" s="38" t="s">
        <v>48</v>
      </c>
      <c r="G133" s="38" t="s">
        <v>1153</v>
      </c>
      <c r="H133" s="38" t="s">
        <v>113</v>
      </c>
      <c r="I133" s="38" t="s">
        <v>114</v>
      </c>
      <c r="J133" s="41" t="s">
        <v>1154</v>
      </c>
      <c r="K133" s="41" t="s">
        <v>1155</v>
      </c>
      <c r="L133" s="43"/>
      <c r="M133" s="38" t="s">
        <v>99</v>
      </c>
      <c r="N133" s="43" t="s">
        <v>1156</v>
      </c>
      <c r="O133" s="43" t="s">
        <v>76</v>
      </c>
      <c r="P133" s="41" t="s">
        <v>1157</v>
      </c>
      <c r="Q133" s="41" t="s">
        <v>1158</v>
      </c>
      <c r="R133" s="50" t="s">
        <v>1159</v>
      </c>
      <c r="S133" s="38" t="s">
        <v>1160</v>
      </c>
      <c r="T133" s="38" t="s">
        <v>1161</v>
      </c>
      <c r="U133" s="38" t="s">
        <v>1162</v>
      </c>
      <c r="V133" s="60">
        <v>42577</v>
      </c>
      <c r="W133" s="43" t="s">
        <v>1163</v>
      </c>
      <c r="X133" s="38" t="s">
        <v>1164</v>
      </c>
      <c r="Y133" s="38" t="s">
        <v>52</v>
      </c>
      <c r="Z133" s="38" t="s">
        <v>396</v>
      </c>
      <c r="AA133" s="38" t="s">
        <v>777</v>
      </c>
      <c r="AB133" s="38" t="s">
        <v>778</v>
      </c>
      <c r="AC133" s="45"/>
      <c r="AD133" s="7"/>
      <c r="AE133" s="7"/>
      <c r="AF133" s="46" t="str">
        <f>IF(R133="","",RIGHT(R133,LEN(R133)-FIND("@",R133)))</f>
        <v>gmail.com</v>
      </c>
      <c r="AG133" s="47">
        <f>LEN(R133)-LEN(SUBSTITUTE(R133," ",""))</f>
        <v>0</v>
      </c>
      <c r="AH133" s="46" t="str">
        <f>SUBSTITUTE(R133," ","")</f>
        <v>riniidayanti10@gmail.com</v>
      </c>
      <c r="AI133" s="46">
        <f>LEN(AH133)-LEN(SUBSTITUTE(AH133," ",""))</f>
        <v>0</v>
      </c>
    </row>
    <row r="134" spans="1:35" x14ac:dyDescent="0.25">
      <c r="A134" s="36">
        <v>127</v>
      </c>
      <c r="B134" s="53" t="s">
        <v>1165</v>
      </c>
      <c r="C134" s="54" t="s">
        <v>1166</v>
      </c>
      <c r="D134" s="55">
        <v>34432</v>
      </c>
      <c r="E134" s="54" t="s">
        <v>40</v>
      </c>
      <c r="F134" s="53"/>
      <c r="G134" s="54" t="s">
        <v>1167</v>
      </c>
      <c r="H134" s="54"/>
      <c r="I134" s="54"/>
      <c r="J134" s="54" t="s">
        <v>1168</v>
      </c>
      <c r="K134" s="54"/>
      <c r="L134" s="54"/>
      <c r="M134" s="54"/>
      <c r="N134" s="54"/>
      <c r="O134" s="54"/>
      <c r="P134" s="54"/>
      <c r="Q134" s="54" t="s">
        <v>1169</v>
      </c>
      <c r="R134" s="57" t="s">
        <v>74</v>
      </c>
      <c r="S134" s="54" t="s">
        <v>1170</v>
      </c>
      <c r="T134" s="54"/>
      <c r="U134" s="54"/>
      <c r="V134" s="55">
        <v>42577</v>
      </c>
      <c r="W134" s="54"/>
      <c r="X134" s="54"/>
      <c r="Y134" s="54" t="s">
        <v>85</v>
      </c>
      <c r="Z134" s="54"/>
      <c r="AA134" s="54"/>
      <c r="AB134" s="54"/>
      <c r="AC134" s="58">
        <v>42614</v>
      </c>
      <c r="AD134" s="7"/>
      <c r="AE134" s="7"/>
      <c r="AF134" s="46"/>
      <c r="AG134" s="47"/>
      <c r="AH134" s="46"/>
      <c r="AI134" s="46"/>
    </row>
    <row r="135" spans="1:35" x14ac:dyDescent="0.25">
      <c r="A135" s="48">
        <v>128</v>
      </c>
      <c r="B135" s="53" t="s">
        <v>1171</v>
      </c>
      <c r="C135" s="54" t="s">
        <v>548</v>
      </c>
      <c r="D135" s="55">
        <v>33829</v>
      </c>
      <c r="E135" s="54" t="s">
        <v>95</v>
      </c>
      <c r="F135" s="53"/>
      <c r="G135" s="54"/>
      <c r="H135" s="54"/>
      <c r="I135" s="54"/>
      <c r="J135" s="54"/>
      <c r="K135" s="54"/>
      <c r="L135" s="54"/>
      <c r="M135" s="54" t="s">
        <v>99</v>
      </c>
      <c r="N135" s="54"/>
      <c r="O135" s="54"/>
      <c r="P135" s="54"/>
      <c r="Q135" s="54" t="s">
        <v>1172</v>
      </c>
      <c r="R135" s="57" t="s">
        <v>74</v>
      </c>
      <c r="S135" s="54" t="s">
        <v>1173</v>
      </c>
      <c r="T135" s="54"/>
      <c r="U135" s="54" t="s">
        <v>1174</v>
      </c>
      <c r="V135" s="55">
        <v>42577</v>
      </c>
      <c r="W135" s="54"/>
      <c r="X135" s="54"/>
      <c r="Y135" s="54" t="s">
        <v>85</v>
      </c>
      <c r="Z135" s="54"/>
      <c r="AA135" s="54"/>
      <c r="AB135" s="54"/>
      <c r="AC135" s="58">
        <v>43533</v>
      </c>
      <c r="AD135" s="7"/>
      <c r="AE135" s="7"/>
      <c r="AF135" s="46" t="str">
        <f>IF(R135="","",RIGHT(R135,LEN(R135)-FIND("@",R135)))</f>
        <v/>
      </c>
      <c r="AG135" s="47">
        <f>LEN(R135)-LEN(SUBSTITUTE(R135," ",""))</f>
        <v>0</v>
      </c>
      <c r="AH135" s="46" t="str">
        <f>SUBSTITUTE(R135," ","")</f>
        <v/>
      </c>
      <c r="AI135" s="46">
        <f>LEN(AH135)-LEN(SUBSTITUTE(AH135," ",""))</f>
        <v>0</v>
      </c>
    </row>
    <row r="136" spans="1:35" x14ac:dyDescent="0.25">
      <c r="A136" s="36">
        <v>129</v>
      </c>
      <c r="B136" s="37" t="s">
        <v>1175</v>
      </c>
      <c r="C136" s="38" t="s">
        <v>1176</v>
      </c>
      <c r="D136" s="39">
        <v>33792</v>
      </c>
      <c r="E136" s="38" t="s">
        <v>40</v>
      </c>
      <c r="F136" s="40" t="s">
        <v>48</v>
      </c>
      <c r="G136" s="38" t="s">
        <v>1177</v>
      </c>
      <c r="H136" s="38" t="s">
        <v>72</v>
      </c>
      <c r="I136" s="38" t="s">
        <v>114</v>
      </c>
      <c r="J136" s="41" t="s">
        <v>1178</v>
      </c>
      <c r="K136" s="41" t="s">
        <v>1179</v>
      </c>
      <c r="L136" s="41"/>
      <c r="M136" s="38" t="s">
        <v>99</v>
      </c>
      <c r="N136" s="43" t="s">
        <v>1180</v>
      </c>
      <c r="O136" s="43" t="s">
        <v>147</v>
      </c>
      <c r="P136" s="41" t="s">
        <v>1181</v>
      </c>
      <c r="Q136" s="43" t="s">
        <v>1182</v>
      </c>
      <c r="R136" s="50" t="s">
        <v>1183</v>
      </c>
      <c r="S136" s="38" t="s">
        <v>1184</v>
      </c>
      <c r="T136" s="38" t="s">
        <v>1185</v>
      </c>
      <c r="U136" s="38" t="s">
        <v>1186</v>
      </c>
      <c r="V136" s="60">
        <v>42578</v>
      </c>
      <c r="W136" s="43" t="s">
        <v>1187</v>
      </c>
      <c r="X136" s="38" t="s">
        <v>1188</v>
      </c>
      <c r="Y136" s="38" t="s">
        <v>52</v>
      </c>
      <c r="Z136" s="38" t="s">
        <v>416</v>
      </c>
      <c r="AA136" s="38" t="s">
        <v>125</v>
      </c>
      <c r="AB136" s="38" t="s">
        <v>173</v>
      </c>
      <c r="AC136" s="45"/>
      <c r="AD136" s="7"/>
      <c r="AE136" s="7"/>
      <c r="AF136" s="46"/>
      <c r="AG136" s="47"/>
      <c r="AH136" s="46"/>
      <c r="AI136" s="46"/>
    </row>
    <row r="137" spans="1:35" x14ac:dyDescent="0.25">
      <c r="A137" s="36">
        <v>130</v>
      </c>
      <c r="B137" s="53" t="s">
        <v>1189</v>
      </c>
      <c r="C137" s="54" t="s">
        <v>1190</v>
      </c>
      <c r="D137" s="55">
        <v>35107</v>
      </c>
      <c r="E137" s="54" t="s">
        <v>40</v>
      </c>
      <c r="F137" s="53"/>
      <c r="G137" s="54" t="s">
        <v>1191</v>
      </c>
      <c r="H137" s="54"/>
      <c r="I137" s="54"/>
      <c r="J137" s="54" t="s">
        <v>1192</v>
      </c>
      <c r="K137" s="54"/>
      <c r="L137" s="54"/>
      <c r="M137" s="54"/>
      <c r="N137" s="54"/>
      <c r="O137" s="54"/>
      <c r="P137" s="54"/>
      <c r="Q137" s="54" t="s">
        <v>1193</v>
      </c>
      <c r="R137" s="57" t="s">
        <v>74</v>
      </c>
      <c r="S137" s="54" t="s">
        <v>1194</v>
      </c>
      <c r="T137" s="54"/>
      <c r="U137" s="54" t="s">
        <v>1195</v>
      </c>
      <c r="V137" s="55">
        <v>42586</v>
      </c>
      <c r="W137" s="54"/>
      <c r="X137" s="54"/>
      <c r="Y137" s="54" t="s">
        <v>85</v>
      </c>
      <c r="Z137" s="54"/>
      <c r="AA137" s="54"/>
      <c r="AB137" s="54"/>
      <c r="AC137" s="58">
        <v>43404</v>
      </c>
      <c r="AD137" s="7"/>
      <c r="AE137" s="7"/>
      <c r="AF137" s="46"/>
      <c r="AG137" s="47"/>
      <c r="AH137" s="46"/>
      <c r="AI137" s="46"/>
    </row>
    <row r="138" spans="1:35" x14ac:dyDescent="0.25">
      <c r="A138" s="36">
        <v>131</v>
      </c>
      <c r="B138" s="53" t="s">
        <v>1196</v>
      </c>
      <c r="C138" s="54" t="s">
        <v>1197</v>
      </c>
      <c r="D138" s="55">
        <v>31708</v>
      </c>
      <c r="E138" s="54" t="s">
        <v>40</v>
      </c>
      <c r="F138" s="53"/>
      <c r="G138" s="54" t="s">
        <v>1198</v>
      </c>
      <c r="H138" s="54"/>
      <c r="I138" s="54"/>
      <c r="J138" s="54" t="s">
        <v>1199</v>
      </c>
      <c r="K138" s="54"/>
      <c r="L138" s="54"/>
      <c r="M138" s="54"/>
      <c r="N138" s="54"/>
      <c r="O138" s="54"/>
      <c r="P138" s="54"/>
      <c r="Q138" s="54" t="s">
        <v>1200</v>
      </c>
      <c r="R138" s="57" t="s">
        <v>74</v>
      </c>
      <c r="S138" s="54" t="s">
        <v>1201</v>
      </c>
      <c r="T138" s="54"/>
      <c r="U138" s="54"/>
      <c r="V138" s="55">
        <v>42586</v>
      </c>
      <c r="W138" s="54"/>
      <c r="X138" s="54"/>
      <c r="Y138" s="54" t="s">
        <v>85</v>
      </c>
      <c r="Z138" s="54"/>
      <c r="AA138" s="54"/>
      <c r="AB138" s="54"/>
      <c r="AC138" s="58"/>
      <c r="AD138" s="7"/>
      <c r="AE138" s="7"/>
      <c r="AF138" s="46" t="str">
        <f>IF(R138="","",RIGHT(R138,LEN(R138)-FIND("@",R138)))</f>
        <v/>
      </c>
      <c r="AG138" s="47">
        <f>LEN(R138)-LEN(SUBSTITUTE(R138," ",""))</f>
        <v>0</v>
      </c>
      <c r="AH138" s="46" t="str">
        <f>SUBSTITUTE(R138," ","")</f>
        <v/>
      </c>
      <c r="AI138" s="46">
        <f>LEN(AH138)-LEN(SUBSTITUTE(AH138," ",""))</f>
        <v>0</v>
      </c>
    </row>
    <row r="139" spans="1:35" x14ac:dyDescent="0.25">
      <c r="A139" s="36">
        <v>132</v>
      </c>
      <c r="B139" s="37" t="s">
        <v>1202</v>
      </c>
      <c r="C139" s="38" t="s">
        <v>94</v>
      </c>
      <c r="D139" s="39">
        <v>32564</v>
      </c>
      <c r="E139" s="38" t="s">
        <v>40</v>
      </c>
      <c r="F139" s="38" t="s">
        <v>41</v>
      </c>
      <c r="G139" s="38" t="s">
        <v>1203</v>
      </c>
      <c r="H139" s="38" t="s">
        <v>113</v>
      </c>
      <c r="I139" s="38" t="s">
        <v>44</v>
      </c>
      <c r="J139" s="41" t="s">
        <v>1204</v>
      </c>
      <c r="K139" s="41" t="s">
        <v>1205</v>
      </c>
      <c r="L139" s="41"/>
      <c r="M139" s="38" t="s">
        <v>47</v>
      </c>
      <c r="N139" s="43" t="s">
        <v>48</v>
      </c>
      <c r="O139" s="43"/>
      <c r="P139" s="41" t="s">
        <v>1206</v>
      </c>
      <c r="Q139" s="41" t="s">
        <v>1207</v>
      </c>
      <c r="R139" s="50" t="s">
        <v>1208</v>
      </c>
      <c r="S139" s="38" t="s">
        <v>1209</v>
      </c>
      <c r="T139" s="38" t="s">
        <v>65</v>
      </c>
      <c r="U139" s="40" t="s">
        <v>1210</v>
      </c>
      <c r="V139" s="60">
        <v>42591</v>
      </c>
      <c r="W139" s="43" t="s">
        <v>1211</v>
      </c>
      <c r="X139" s="38" t="s">
        <v>1212</v>
      </c>
      <c r="Y139" s="38" t="s">
        <v>52</v>
      </c>
      <c r="Z139" s="38" t="s">
        <v>416</v>
      </c>
      <c r="AA139" s="38" t="s">
        <v>125</v>
      </c>
      <c r="AB139" s="38" t="s">
        <v>1213</v>
      </c>
      <c r="AC139" s="45"/>
      <c r="AD139" s="7"/>
      <c r="AE139" s="7"/>
      <c r="AF139" s="46" t="str">
        <f>IF(R139="","",RIGHT(R139,LEN(R139)-FIND("@",R139)))</f>
        <v>gmail.com</v>
      </c>
      <c r="AG139" s="47">
        <f>LEN(R139)-LEN(SUBSTITUTE(R139," ",""))</f>
        <v>0</v>
      </c>
      <c r="AH139" s="46" t="str">
        <f>SUBSTITUTE(R139," ","")</f>
        <v>fredyaryadi14@gmail.com</v>
      </c>
      <c r="AI139" s="46">
        <f>LEN(AH139)-LEN(SUBSTITUTE(AH139," ",""))</f>
        <v>0</v>
      </c>
    </row>
    <row r="140" spans="1:35" x14ac:dyDescent="0.25">
      <c r="A140" s="36">
        <v>133</v>
      </c>
      <c r="B140" s="53" t="s">
        <v>1214</v>
      </c>
      <c r="C140" s="54" t="s">
        <v>1215</v>
      </c>
      <c r="D140" s="55">
        <v>35711</v>
      </c>
      <c r="E140" s="54" t="s">
        <v>95</v>
      </c>
      <c r="F140" s="53"/>
      <c r="G140" s="54" t="s">
        <v>1216</v>
      </c>
      <c r="H140" s="54"/>
      <c r="I140" s="54"/>
      <c r="J140" s="54" t="s">
        <v>1217</v>
      </c>
      <c r="K140" s="54"/>
      <c r="L140" s="54"/>
      <c r="M140" s="54" t="s">
        <v>99</v>
      </c>
      <c r="N140" s="54"/>
      <c r="O140" s="54"/>
      <c r="P140" s="54"/>
      <c r="Q140" s="54" t="s">
        <v>1218</v>
      </c>
      <c r="R140" s="57" t="s">
        <v>74</v>
      </c>
      <c r="S140" s="54" t="s">
        <v>1216</v>
      </c>
      <c r="T140" s="54"/>
      <c r="U140" s="54"/>
      <c r="V140" s="55">
        <v>42597</v>
      </c>
      <c r="W140" s="54"/>
      <c r="X140" s="54"/>
      <c r="Y140" s="54" t="s">
        <v>85</v>
      </c>
      <c r="Z140" s="54"/>
      <c r="AA140" s="54"/>
      <c r="AB140" s="54"/>
      <c r="AC140" s="58">
        <v>42826</v>
      </c>
      <c r="AD140" s="7"/>
      <c r="AE140" s="7"/>
      <c r="AF140" s="46" t="str">
        <f>IF(R140="","",RIGHT(R140,LEN(R140)-FIND("@",R140)))</f>
        <v/>
      </c>
      <c r="AG140" s="47">
        <f>LEN(R140)-LEN(SUBSTITUTE(R140," ",""))</f>
        <v>0</v>
      </c>
      <c r="AH140" s="46" t="str">
        <f>SUBSTITUTE(R140," ","")</f>
        <v/>
      </c>
      <c r="AI140" s="46">
        <f>LEN(AH140)-LEN(SUBSTITUTE(AH140," ",""))</f>
        <v>0</v>
      </c>
    </row>
    <row r="141" spans="1:35" x14ac:dyDescent="0.25">
      <c r="A141" s="48">
        <v>134</v>
      </c>
      <c r="B141" s="53" t="s">
        <v>1219</v>
      </c>
      <c r="C141" s="54" t="s">
        <v>1220</v>
      </c>
      <c r="D141" s="55" t="s">
        <v>1221</v>
      </c>
      <c r="E141" s="54" t="s">
        <v>40</v>
      </c>
      <c r="F141" s="53"/>
      <c r="G141" s="54" t="s">
        <v>1222</v>
      </c>
      <c r="H141" s="54"/>
      <c r="I141" s="54"/>
      <c r="J141" s="54" t="s">
        <v>1223</v>
      </c>
      <c r="K141" s="54"/>
      <c r="L141" s="54"/>
      <c r="M141" s="54"/>
      <c r="N141" s="54"/>
      <c r="O141" s="54"/>
      <c r="P141" s="54"/>
      <c r="Q141" s="54" t="s">
        <v>1224</v>
      </c>
      <c r="R141" s="57" t="s">
        <v>74</v>
      </c>
      <c r="S141" s="54" t="s">
        <v>1225</v>
      </c>
      <c r="T141" s="54"/>
      <c r="U141" s="54"/>
      <c r="V141" s="55">
        <v>42597</v>
      </c>
      <c r="W141" s="54"/>
      <c r="X141" s="54"/>
      <c r="Y141" s="54" t="s">
        <v>85</v>
      </c>
      <c r="Z141" s="54"/>
      <c r="AA141" s="54"/>
      <c r="AB141" s="54"/>
      <c r="AC141" s="58">
        <v>42917</v>
      </c>
      <c r="AD141" s="7"/>
      <c r="AE141" s="7"/>
      <c r="AF141" s="46"/>
      <c r="AG141" s="47"/>
      <c r="AH141" s="46"/>
      <c r="AI141" s="46"/>
    </row>
    <row r="142" spans="1:35" x14ac:dyDescent="0.25">
      <c r="A142" s="36">
        <v>135</v>
      </c>
      <c r="B142" s="53" t="s">
        <v>1226</v>
      </c>
      <c r="C142" s="54" t="s">
        <v>1227</v>
      </c>
      <c r="D142" s="55">
        <v>35945</v>
      </c>
      <c r="E142" s="54" t="s">
        <v>95</v>
      </c>
      <c r="F142" s="53"/>
      <c r="G142" s="54" t="s">
        <v>1228</v>
      </c>
      <c r="H142" s="54"/>
      <c r="I142" s="54"/>
      <c r="J142" s="54" t="s">
        <v>1229</v>
      </c>
      <c r="K142" s="54"/>
      <c r="L142" s="54"/>
      <c r="M142" s="54" t="s">
        <v>99</v>
      </c>
      <c r="N142" s="54"/>
      <c r="O142" s="54"/>
      <c r="P142" s="54"/>
      <c r="Q142" s="54" t="s">
        <v>389</v>
      </c>
      <c r="R142" s="57" t="s">
        <v>74</v>
      </c>
      <c r="S142" s="54" t="s">
        <v>1230</v>
      </c>
      <c r="T142" s="54"/>
      <c r="U142" s="54"/>
      <c r="V142" s="55">
        <v>42597</v>
      </c>
      <c r="W142" s="54"/>
      <c r="X142" s="54"/>
      <c r="Y142" s="54" t="s">
        <v>85</v>
      </c>
      <c r="Z142" s="54"/>
      <c r="AA142" s="54"/>
      <c r="AB142" s="54"/>
      <c r="AC142" s="58">
        <v>43331</v>
      </c>
      <c r="AD142" s="7"/>
      <c r="AE142" s="7"/>
      <c r="AF142" s="46" t="str">
        <f>IF(R142="","",RIGHT(R142,LEN(R142)-FIND("@",R142)))</f>
        <v/>
      </c>
      <c r="AG142" s="47">
        <f>LEN(R142)-LEN(SUBSTITUTE(R142," ",""))</f>
        <v>0</v>
      </c>
      <c r="AH142" s="46" t="str">
        <f>SUBSTITUTE(R142," ","")</f>
        <v/>
      </c>
      <c r="AI142" s="46">
        <f>LEN(AH142)-LEN(SUBSTITUTE(AH142," ",""))</f>
        <v>0</v>
      </c>
    </row>
    <row r="143" spans="1:35" x14ac:dyDescent="0.25">
      <c r="A143" s="36">
        <v>136</v>
      </c>
      <c r="B143" s="37" t="s">
        <v>1231</v>
      </c>
      <c r="C143" s="38" t="s">
        <v>328</v>
      </c>
      <c r="D143" s="39">
        <v>35862</v>
      </c>
      <c r="E143" s="38" t="s">
        <v>40</v>
      </c>
      <c r="F143" s="38" t="s">
        <v>48</v>
      </c>
      <c r="G143" s="38" t="s">
        <v>1232</v>
      </c>
      <c r="H143" s="38" t="s">
        <v>113</v>
      </c>
      <c r="I143" s="38" t="s">
        <v>114</v>
      </c>
      <c r="J143" s="41" t="s">
        <v>1233</v>
      </c>
      <c r="K143" s="41" t="s">
        <v>74</v>
      </c>
      <c r="L143" s="41"/>
      <c r="M143" s="38" t="s">
        <v>99</v>
      </c>
      <c r="N143" s="43" t="s">
        <v>48</v>
      </c>
      <c r="O143" s="43"/>
      <c r="P143" s="41" t="s">
        <v>1234</v>
      </c>
      <c r="Q143" s="41" t="s">
        <v>1235</v>
      </c>
      <c r="R143" s="50" t="s">
        <v>1236</v>
      </c>
      <c r="S143" s="38" t="s">
        <v>1237</v>
      </c>
      <c r="T143" s="38" t="s">
        <v>1238</v>
      </c>
      <c r="U143" s="38" t="s">
        <v>1239</v>
      </c>
      <c r="V143" s="60">
        <v>42600</v>
      </c>
      <c r="W143" s="41" t="s">
        <v>1240</v>
      </c>
      <c r="X143" s="38" t="s">
        <v>1241</v>
      </c>
      <c r="Y143" s="38" t="s">
        <v>52</v>
      </c>
      <c r="Z143" s="38" t="s">
        <v>226</v>
      </c>
      <c r="AA143" s="38" t="s">
        <v>125</v>
      </c>
      <c r="AB143" s="38" t="s">
        <v>566</v>
      </c>
      <c r="AC143" s="45"/>
      <c r="AD143" s="7"/>
      <c r="AE143" s="7"/>
      <c r="AF143" s="46"/>
      <c r="AG143" s="47"/>
      <c r="AH143" s="46"/>
      <c r="AI143" s="46"/>
    </row>
    <row r="144" spans="1:35" x14ac:dyDescent="0.25">
      <c r="A144" s="36">
        <v>137</v>
      </c>
      <c r="B144" s="37" t="s">
        <v>1242</v>
      </c>
      <c r="C144" s="38" t="s">
        <v>267</v>
      </c>
      <c r="D144" s="39">
        <v>29652</v>
      </c>
      <c r="E144" s="38" t="s">
        <v>95</v>
      </c>
      <c r="F144" s="40" t="s">
        <v>48</v>
      </c>
      <c r="G144" s="38" t="s">
        <v>1243</v>
      </c>
      <c r="H144" s="38" t="s">
        <v>113</v>
      </c>
      <c r="I144" s="38" t="s">
        <v>44</v>
      </c>
      <c r="J144" s="41" t="s">
        <v>1244</v>
      </c>
      <c r="K144" s="41" t="s">
        <v>1245</v>
      </c>
      <c r="L144" s="67"/>
      <c r="M144" s="38" t="s">
        <v>99</v>
      </c>
      <c r="N144" s="43" t="s">
        <v>1246</v>
      </c>
      <c r="O144" s="43" t="s">
        <v>164</v>
      </c>
      <c r="P144" s="41" t="s">
        <v>1247</v>
      </c>
      <c r="Q144" s="41" t="s">
        <v>1248</v>
      </c>
      <c r="R144" s="50" t="s">
        <v>1249</v>
      </c>
      <c r="S144" s="38" t="s">
        <v>1250</v>
      </c>
      <c r="T144" s="38" t="s">
        <v>463</v>
      </c>
      <c r="U144" s="38" t="s">
        <v>1251</v>
      </c>
      <c r="V144" s="60">
        <v>42604</v>
      </c>
      <c r="W144" s="41" t="s">
        <v>1252</v>
      </c>
      <c r="X144" s="38" t="s">
        <v>1253</v>
      </c>
      <c r="Y144" s="38" t="s">
        <v>52</v>
      </c>
      <c r="Z144" s="38" t="s">
        <v>416</v>
      </c>
      <c r="AA144" s="38" t="s">
        <v>777</v>
      </c>
      <c r="AB144" s="38" t="s">
        <v>778</v>
      </c>
      <c r="AC144" s="45"/>
      <c r="AD144" s="7"/>
      <c r="AE144" s="7"/>
      <c r="AF144" s="46" t="str">
        <f>IF(R144="","",RIGHT(R144,LEN(R144)-FIND("@",R144)))</f>
        <v>gmail.com</v>
      </c>
      <c r="AG144" s="47">
        <f>LEN(R144)-LEN(SUBSTITUTE(R144," ",""))</f>
        <v>0</v>
      </c>
      <c r="AH144" s="46" t="str">
        <f>SUBSTITUTE(R144," ","")</f>
        <v>niearuliantari@gmail.com</v>
      </c>
      <c r="AI144" s="46">
        <f>LEN(AH144)-LEN(SUBSTITUTE(AH144," ",""))</f>
        <v>0</v>
      </c>
    </row>
    <row r="145" spans="1:35" x14ac:dyDescent="0.25">
      <c r="A145" s="36">
        <v>138</v>
      </c>
      <c r="B145" s="53" t="s">
        <v>1254</v>
      </c>
      <c r="C145" s="54" t="s">
        <v>1255</v>
      </c>
      <c r="D145" s="55">
        <v>32307</v>
      </c>
      <c r="E145" s="54" t="s">
        <v>95</v>
      </c>
      <c r="F145" s="53"/>
      <c r="G145" s="54" t="s">
        <v>1256</v>
      </c>
      <c r="H145" s="54"/>
      <c r="I145" s="54"/>
      <c r="J145" s="54" t="s">
        <v>1257</v>
      </c>
      <c r="K145" s="54"/>
      <c r="L145" s="54"/>
      <c r="M145" s="54" t="s">
        <v>99</v>
      </c>
      <c r="N145" s="54"/>
      <c r="O145" s="54"/>
      <c r="P145" s="54"/>
      <c r="Q145" s="54" t="s">
        <v>1258</v>
      </c>
      <c r="R145" s="57" t="s">
        <v>74</v>
      </c>
      <c r="S145" s="54" t="s">
        <v>1259</v>
      </c>
      <c r="T145" s="54"/>
      <c r="U145" s="54"/>
      <c r="V145" s="55">
        <v>42604</v>
      </c>
      <c r="W145" s="54"/>
      <c r="X145" s="54"/>
      <c r="Y145" s="54" t="s">
        <v>85</v>
      </c>
      <c r="Z145" s="54"/>
      <c r="AA145" s="54"/>
      <c r="AB145" s="54"/>
      <c r="AC145" s="58">
        <v>42714</v>
      </c>
      <c r="AD145" s="7"/>
      <c r="AE145" s="7"/>
      <c r="AF145" s="46"/>
      <c r="AG145" s="47"/>
      <c r="AH145" s="46"/>
      <c r="AI145" s="46"/>
    </row>
    <row r="146" spans="1:35" x14ac:dyDescent="0.25">
      <c r="A146" s="36">
        <v>139</v>
      </c>
      <c r="B146" s="53" t="s">
        <v>1260</v>
      </c>
      <c r="C146" s="54" t="s">
        <v>1261</v>
      </c>
      <c r="D146" s="55">
        <v>34322</v>
      </c>
      <c r="E146" s="54" t="s">
        <v>40</v>
      </c>
      <c r="F146" s="53"/>
      <c r="G146" s="54" t="s">
        <v>1262</v>
      </c>
      <c r="H146" s="54"/>
      <c r="I146" s="54"/>
      <c r="J146" s="54" t="s">
        <v>1263</v>
      </c>
      <c r="K146" s="54"/>
      <c r="L146" s="54"/>
      <c r="M146" s="54"/>
      <c r="N146" s="54"/>
      <c r="O146" s="54"/>
      <c r="P146" s="54"/>
      <c r="Q146" s="54" t="s">
        <v>1264</v>
      </c>
      <c r="R146" s="57" t="s">
        <v>74</v>
      </c>
      <c r="S146" s="54" t="s">
        <v>1262</v>
      </c>
      <c r="T146" s="54"/>
      <c r="U146" s="54"/>
      <c r="V146" s="55">
        <v>42604</v>
      </c>
      <c r="W146" s="54"/>
      <c r="X146" s="54"/>
      <c r="Y146" s="54" t="s">
        <v>85</v>
      </c>
      <c r="Z146" s="54"/>
      <c r="AA146" s="54"/>
      <c r="AB146" s="54"/>
      <c r="AC146" s="58">
        <v>42958</v>
      </c>
      <c r="AD146" s="7"/>
      <c r="AE146" s="7"/>
      <c r="AF146" s="46" t="str">
        <f>IF(R146="","",RIGHT(R146,LEN(R146)-FIND("@",R146)))</f>
        <v/>
      </c>
      <c r="AG146" s="47">
        <f>LEN(R146)-LEN(SUBSTITUTE(R146," ",""))</f>
        <v>0</v>
      </c>
      <c r="AH146" s="46" t="str">
        <f>SUBSTITUTE(R146," ","")</f>
        <v/>
      </c>
      <c r="AI146" s="46">
        <f>LEN(AH146)-LEN(SUBSTITUTE(AH146," ",""))</f>
        <v>0</v>
      </c>
    </row>
    <row r="147" spans="1:35" x14ac:dyDescent="0.25">
      <c r="A147" s="48">
        <v>140</v>
      </c>
      <c r="B147" s="53" t="s">
        <v>1265</v>
      </c>
      <c r="C147" s="54" t="s">
        <v>1266</v>
      </c>
      <c r="D147" s="55">
        <v>34398</v>
      </c>
      <c r="E147" s="54" t="s">
        <v>95</v>
      </c>
      <c r="F147" s="53"/>
      <c r="G147" s="54" t="s">
        <v>1267</v>
      </c>
      <c r="H147" s="54"/>
      <c r="I147" s="54"/>
      <c r="J147" s="54" t="s">
        <v>1268</v>
      </c>
      <c r="K147" s="54"/>
      <c r="L147" s="54"/>
      <c r="M147" s="54" t="s">
        <v>99</v>
      </c>
      <c r="N147" s="54"/>
      <c r="O147" s="54"/>
      <c r="P147" s="54"/>
      <c r="Q147" s="54" t="s">
        <v>1269</v>
      </c>
      <c r="R147" s="57" t="s">
        <v>74</v>
      </c>
      <c r="S147" s="54" t="s">
        <v>1270</v>
      </c>
      <c r="T147" s="54"/>
      <c r="U147" s="54" t="s">
        <v>1271</v>
      </c>
      <c r="V147" s="55">
        <v>42605</v>
      </c>
      <c r="W147" s="54"/>
      <c r="X147" s="54"/>
      <c r="Y147" s="54" t="s">
        <v>85</v>
      </c>
      <c r="Z147" s="54"/>
      <c r="AA147" s="54"/>
      <c r="AB147" s="54"/>
      <c r="AC147" s="58">
        <v>43470</v>
      </c>
      <c r="AD147" s="7"/>
      <c r="AE147" s="7"/>
      <c r="AF147" s="46" t="str">
        <f>IF(R147="","",RIGHT(R147,LEN(R147)-FIND("@",R147)))</f>
        <v/>
      </c>
      <c r="AG147" s="47">
        <f>LEN(R147)-LEN(SUBSTITUTE(R147," ",""))</f>
        <v>0</v>
      </c>
      <c r="AH147" s="46" t="str">
        <f>SUBSTITUTE(R147," ","")</f>
        <v/>
      </c>
      <c r="AI147" s="46">
        <f>LEN(AH147)-LEN(SUBSTITUTE(AH147," ",""))</f>
        <v>0</v>
      </c>
    </row>
    <row r="148" spans="1:35" x14ac:dyDescent="0.25">
      <c r="A148" s="36">
        <v>141</v>
      </c>
      <c r="B148" s="37" t="s">
        <v>1272</v>
      </c>
      <c r="C148" s="38" t="s">
        <v>1273</v>
      </c>
      <c r="D148" s="39">
        <v>34479</v>
      </c>
      <c r="E148" s="38" t="s">
        <v>95</v>
      </c>
      <c r="F148" s="38" t="s">
        <v>129</v>
      </c>
      <c r="G148" s="38" t="s">
        <v>1274</v>
      </c>
      <c r="H148" s="38" t="s">
        <v>72</v>
      </c>
      <c r="I148" s="38" t="s">
        <v>44</v>
      </c>
      <c r="J148" s="41" t="s">
        <v>1275</v>
      </c>
      <c r="K148" s="41" t="s">
        <v>1276</v>
      </c>
      <c r="L148" s="43"/>
      <c r="M148" s="38" t="s">
        <v>99</v>
      </c>
      <c r="N148" s="43" t="s">
        <v>1277</v>
      </c>
      <c r="O148" s="43" t="s">
        <v>164</v>
      </c>
      <c r="P148" s="41" t="s">
        <v>1278</v>
      </c>
      <c r="Q148" s="41" t="s">
        <v>1279</v>
      </c>
      <c r="R148" s="50" t="s">
        <v>1280</v>
      </c>
      <c r="S148" s="38" t="s">
        <v>1281</v>
      </c>
      <c r="T148" s="38" t="s">
        <v>1282</v>
      </c>
      <c r="U148" s="38" t="s">
        <v>1283</v>
      </c>
      <c r="V148" s="60">
        <v>42611</v>
      </c>
      <c r="W148" s="41" t="s">
        <v>1284</v>
      </c>
      <c r="X148" s="38" t="s">
        <v>1285</v>
      </c>
      <c r="Y148" s="38" t="s">
        <v>52</v>
      </c>
      <c r="Z148" s="38" t="s">
        <v>396</v>
      </c>
      <c r="AA148" s="38" t="s">
        <v>777</v>
      </c>
      <c r="AB148" s="38" t="s">
        <v>778</v>
      </c>
      <c r="AC148" s="45"/>
      <c r="AD148" s="7"/>
      <c r="AE148" s="7"/>
      <c r="AF148" s="46" t="str">
        <f>IF(R148="","",RIGHT(R148,LEN(R148)-FIND("@",R148)))</f>
        <v>gmail.com</v>
      </c>
      <c r="AG148" s="47">
        <f>LEN(R148)-LEN(SUBSTITUTE(R148," ",""))</f>
        <v>0</v>
      </c>
      <c r="AH148" s="46" t="str">
        <f>SUBSTITUTE(R148," ","")</f>
        <v>triadnyani95@gmail.com</v>
      </c>
      <c r="AI148" s="46">
        <f>LEN(AH148)-LEN(SUBSTITUTE(AH148," ",""))</f>
        <v>0</v>
      </c>
    </row>
    <row r="149" spans="1:35" x14ac:dyDescent="0.25">
      <c r="A149" s="36">
        <v>142</v>
      </c>
      <c r="B149" s="37" t="s">
        <v>1286</v>
      </c>
      <c r="C149" s="38" t="s">
        <v>94</v>
      </c>
      <c r="D149" s="39">
        <v>34462</v>
      </c>
      <c r="E149" s="38" t="s">
        <v>95</v>
      </c>
      <c r="F149" s="40" t="s">
        <v>48</v>
      </c>
      <c r="G149" s="38" t="s">
        <v>1287</v>
      </c>
      <c r="H149" s="38" t="s">
        <v>72</v>
      </c>
      <c r="I149" s="38" t="s">
        <v>114</v>
      </c>
      <c r="J149" s="43" t="s">
        <v>1288</v>
      </c>
      <c r="K149" s="43" t="s">
        <v>1</v>
      </c>
      <c r="L149" s="43"/>
      <c r="M149" s="38" t="s">
        <v>99</v>
      </c>
      <c r="N149" s="43" t="s">
        <v>1289</v>
      </c>
      <c r="O149" s="43" t="s">
        <v>164</v>
      </c>
      <c r="P149" s="41" t="s">
        <v>1290</v>
      </c>
      <c r="Q149" s="41" t="s">
        <v>1291</v>
      </c>
      <c r="R149" s="50" t="s">
        <v>1292</v>
      </c>
      <c r="S149" s="38" t="s">
        <v>1293</v>
      </c>
      <c r="T149" s="38" t="s">
        <v>1294</v>
      </c>
      <c r="U149" s="40" t="s">
        <v>1295</v>
      </c>
      <c r="V149" s="60">
        <v>42614</v>
      </c>
      <c r="W149" s="41" t="s">
        <v>1296</v>
      </c>
      <c r="X149" s="38" t="s">
        <v>1297</v>
      </c>
      <c r="Y149" s="38" t="s">
        <v>52</v>
      </c>
      <c r="Z149" s="38" t="s">
        <v>1298</v>
      </c>
      <c r="AA149" s="38" t="s">
        <v>82</v>
      </c>
      <c r="AB149" s="38" t="s">
        <v>55</v>
      </c>
      <c r="AC149" s="45"/>
      <c r="AD149" s="7"/>
      <c r="AE149" s="7"/>
      <c r="AF149" s="46"/>
      <c r="AG149" s="47"/>
      <c r="AH149" s="46"/>
      <c r="AI149" s="46"/>
    </row>
    <row r="150" spans="1:35" x14ac:dyDescent="0.25">
      <c r="A150" s="36">
        <v>143</v>
      </c>
      <c r="B150" s="53" t="s">
        <v>1299</v>
      </c>
      <c r="C150" s="54" t="s">
        <v>1300</v>
      </c>
      <c r="D150" s="55">
        <v>26216</v>
      </c>
      <c r="E150" s="54" t="s">
        <v>40</v>
      </c>
      <c r="F150" s="53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 t="s">
        <v>1301</v>
      </c>
      <c r="R150" s="57" t="s">
        <v>74</v>
      </c>
      <c r="S150" s="54" t="s">
        <v>1302</v>
      </c>
      <c r="T150" s="54"/>
      <c r="U150" s="54"/>
      <c r="V150" s="55">
        <v>42618</v>
      </c>
      <c r="W150" s="54"/>
      <c r="X150" s="54"/>
      <c r="Y150" s="54" t="s">
        <v>85</v>
      </c>
      <c r="Z150" s="54"/>
      <c r="AA150" s="54"/>
      <c r="AB150" s="54"/>
      <c r="AC150" s="58">
        <v>42644</v>
      </c>
      <c r="AD150" s="7"/>
      <c r="AE150" s="7"/>
      <c r="AF150" s="46"/>
      <c r="AG150" s="47"/>
      <c r="AH150" s="46"/>
      <c r="AI150" s="46"/>
    </row>
    <row r="151" spans="1:35" x14ac:dyDescent="0.25">
      <c r="A151" s="36">
        <v>144</v>
      </c>
      <c r="B151" s="37" t="s">
        <v>1303</v>
      </c>
      <c r="C151" s="38" t="s">
        <v>94</v>
      </c>
      <c r="D151" s="39">
        <v>34155</v>
      </c>
      <c r="E151" s="38" t="s">
        <v>40</v>
      </c>
      <c r="F151" s="38" t="s">
        <v>129</v>
      </c>
      <c r="G151" s="38" t="s">
        <v>1304</v>
      </c>
      <c r="H151" s="38" t="s">
        <v>113</v>
      </c>
      <c r="I151" s="38" t="s">
        <v>114</v>
      </c>
      <c r="J151" s="41" t="s">
        <v>1305</v>
      </c>
      <c r="K151" s="41" t="s">
        <v>1306</v>
      </c>
      <c r="L151" s="43"/>
      <c r="M151" s="38" t="s">
        <v>99</v>
      </c>
      <c r="N151" s="43" t="s">
        <v>1307</v>
      </c>
      <c r="O151" s="43" t="s">
        <v>147</v>
      </c>
      <c r="P151" s="41" t="s">
        <v>1308</v>
      </c>
      <c r="Q151" s="41" t="s">
        <v>1309</v>
      </c>
      <c r="R151" s="50" t="s">
        <v>1310</v>
      </c>
      <c r="S151" s="38" t="s">
        <v>1311</v>
      </c>
      <c r="T151" s="38" t="s">
        <v>65</v>
      </c>
      <c r="U151" s="38" t="s">
        <v>1312</v>
      </c>
      <c r="V151" s="60">
        <v>42625</v>
      </c>
      <c r="W151" s="41" t="s">
        <v>1313</v>
      </c>
      <c r="X151" s="38" t="s">
        <v>1314</v>
      </c>
      <c r="Y151" s="38" t="s">
        <v>52</v>
      </c>
      <c r="Z151" s="38" t="s">
        <v>1315</v>
      </c>
      <c r="AA151" s="38" t="s">
        <v>777</v>
      </c>
      <c r="AB151" s="38" t="s">
        <v>778</v>
      </c>
      <c r="AC151" s="45"/>
      <c r="AD151" s="7"/>
      <c r="AE151" s="7"/>
      <c r="AF151" s="46" t="str">
        <f>IF(R151="","",RIGHT(R151,LEN(R151)-FIND("@",R151)))</f>
        <v>gmail.com</v>
      </c>
      <c r="AG151" s="47">
        <f>LEN(R151)-LEN(SUBSTITUTE(R151," ",""))</f>
        <v>0</v>
      </c>
      <c r="AH151" s="46" t="str">
        <f>SUBSTITUTE(R151," ","")</f>
        <v>bayoemartis@gmail.com</v>
      </c>
      <c r="AI151" s="46">
        <f>LEN(AH151)-LEN(SUBSTITUTE(AH151," ",""))</f>
        <v>0</v>
      </c>
    </row>
    <row r="152" spans="1:35" x14ac:dyDescent="0.25">
      <c r="A152" s="36">
        <v>145</v>
      </c>
      <c r="B152" s="37" t="s">
        <v>1316</v>
      </c>
      <c r="C152" s="38" t="s">
        <v>94</v>
      </c>
      <c r="D152" s="39">
        <v>35097</v>
      </c>
      <c r="E152" s="38" t="s">
        <v>40</v>
      </c>
      <c r="F152" s="38" t="s">
        <v>304</v>
      </c>
      <c r="G152" s="38" t="s">
        <v>1317</v>
      </c>
      <c r="H152" s="38" t="s">
        <v>113</v>
      </c>
      <c r="I152" s="38" t="s">
        <v>114</v>
      </c>
      <c r="J152" s="41" t="s">
        <v>1318</v>
      </c>
      <c r="K152" s="41" t="s">
        <v>1319</v>
      </c>
      <c r="L152" s="42" t="s">
        <v>1320</v>
      </c>
      <c r="M152" s="38" t="s">
        <v>99</v>
      </c>
      <c r="N152" s="41" t="s">
        <v>1321</v>
      </c>
      <c r="O152" s="41" t="s">
        <v>428</v>
      </c>
      <c r="P152" s="41" t="s">
        <v>1322</v>
      </c>
      <c r="Q152" s="41" t="s">
        <v>1323</v>
      </c>
      <c r="R152" s="50" t="s">
        <v>1324</v>
      </c>
      <c r="S152" s="38" t="s">
        <v>1325</v>
      </c>
      <c r="T152" s="38" t="s">
        <v>1326</v>
      </c>
      <c r="U152" s="38" t="s">
        <v>1327</v>
      </c>
      <c r="V152" s="60">
        <v>42632</v>
      </c>
      <c r="W152" s="41" t="s">
        <v>1328</v>
      </c>
      <c r="X152" s="38" t="s">
        <v>1329</v>
      </c>
      <c r="Y152" s="38" t="s">
        <v>52</v>
      </c>
      <c r="Z152" s="38" t="s">
        <v>735</v>
      </c>
      <c r="AA152" s="38" t="s">
        <v>125</v>
      </c>
      <c r="AB152" s="38" t="s">
        <v>1213</v>
      </c>
      <c r="AC152" s="45"/>
      <c r="AD152" s="7"/>
      <c r="AE152" s="7"/>
      <c r="AF152" s="46"/>
      <c r="AG152" s="47"/>
      <c r="AH152" s="46"/>
      <c r="AI152" s="46"/>
    </row>
    <row r="153" spans="1:35" x14ac:dyDescent="0.25">
      <c r="A153" s="48">
        <v>146</v>
      </c>
      <c r="B153" s="53" t="s">
        <v>1330</v>
      </c>
      <c r="C153" s="54" t="s">
        <v>1331</v>
      </c>
      <c r="D153" s="55">
        <v>35837</v>
      </c>
      <c r="E153" s="54" t="s">
        <v>40</v>
      </c>
      <c r="F153" s="53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 t="s">
        <v>1332</v>
      </c>
      <c r="R153" s="57" t="s">
        <v>74</v>
      </c>
      <c r="S153" s="54" t="s">
        <v>1333</v>
      </c>
      <c r="T153" s="54"/>
      <c r="U153" s="54"/>
      <c r="V153" s="55">
        <v>42632</v>
      </c>
      <c r="W153" s="54"/>
      <c r="X153" s="54"/>
      <c r="Y153" s="54" t="s">
        <v>85</v>
      </c>
      <c r="Z153" s="54"/>
      <c r="AA153" s="54"/>
      <c r="AB153" s="54"/>
      <c r="AC153" s="58">
        <v>42795</v>
      </c>
      <c r="AD153" s="7"/>
      <c r="AE153" s="7"/>
      <c r="AF153" s="46" t="str">
        <f>IF(R153="","",RIGHT(R153,LEN(R153)-FIND("@",R153)))</f>
        <v/>
      </c>
      <c r="AG153" s="47">
        <f>LEN(R153)-LEN(SUBSTITUTE(R153," ",""))</f>
        <v>0</v>
      </c>
      <c r="AH153" s="46" t="str">
        <f>SUBSTITUTE(R153," ","")</f>
        <v/>
      </c>
      <c r="AI153" s="46">
        <f>LEN(AH153)-LEN(SUBSTITUTE(AH153," ",""))</f>
        <v>0</v>
      </c>
    </row>
    <row r="154" spans="1:35" x14ac:dyDescent="0.25">
      <c r="A154" s="36">
        <v>147</v>
      </c>
      <c r="B154" s="53" t="s">
        <v>1334</v>
      </c>
      <c r="C154" s="54" t="s">
        <v>1335</v>
      </c>
      <c r="D154" s="55">
        <v>33861</v>
      </c>
      <c r="E154" s="54" t="s">
        <v>40</v>
      </c>
      <c r="F154" s="53"/>
      <c r="G154" s="54" t="s">
        <v>1336</v>
      </c>
      <c r="H154" s="54"/>
      <c r="I154" s="54"/>
      <c r="J154" s="54" t="s">
        <v>1337</v>
      </c>
      <c r="K154" s="54"/>
      <c r="L154" s="54"/>
      <c r="M154" s="54"/>
      <c r="N154" s="54"/>
      <c r="O154" s="54"/>
      <c r="P154" s="54"/>
      <c r="Q154" s="54" t="s">
        <v>1338</v>
      </c>
      <c r="R154" s="57" t="s">
        <v>74</v>
      </c>
      <c r="S154" s="54" t="s">
        <v>1339</v>
      </c>
      <c r="T154" s="54"/>
      <c r="U154" s="54"/>
      <c r="V154" s="55">
        <v>42632</v>
      </c>
      <c r="W154" s="54"/>
      <c r="X154" s="54"/>
      <c r="Y154" s="54" t="s">
        <v>85</v>
      </c>
      <c r="Z154" s="54"/>
      <c r="AA154" s="54"/>
      <c r="AB154" s="54"/>
      <c r="AC154" s="58">
        <v>42917</v>
      </c>
      <c r="AD154" s="7"/>
      <c r="AE154" s="7"/>
      <c r="AF154" s="46" t="str">
        <f>IF(R154="","",RIGHT(R154,LEN(R154)-FIND("@",R154)))</f>
        <v/>
      </c>
      <c r="AG154" s="47">
        <f>LEN(R154)-LEN(SUBSTITUTE(R154," ",""))</f>
        <v>0</v>
      </c>
      <c r="AH154" s="46" t="str">
        <f>SUBSTITUTE(R154," ","")</f>
        <v/>
      </c>
      <c r="AI154" s="46">
        <f>LEN(AH154)-LEN(SUBSTITUTE(AH154," ",""))</f>
        <v>0</v>
      </c>
    </row>
    <row r="155" spans="1:35" x14ac:dyDescent="0.25">
      <c r="A155" s="36">
        <v>148</v>
      </c>
      <c r="B155" s="53" t="s">
        <v>1340</v>
      </c>
      <c r="C155" s="54" t="s">
        <v>1341</v>
      </c>
      <c r="D155" s="55">
        <v>28302</v>
      </c>
      <c r="E155" s="54" t="s">
        <v>40</v>
      </c>
      <c r="F155" s="53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 t="s">
        <v>1342</v>
      </c>
      <c r="R155" s="57" t="s">
        <v>74</v>
      </c>
      <c r="S155" s="54" t="s">
        <v>1343</v>
      </c>
      <c r="T155" s="54"/>
      <c r="U155" s="54" t="s">
        <v>1344</v>
      </c>
      <c r="V155" s="55">
        <v>42633</v>
      </c>
      <c r="W155" s="54"/>
      <c r="X155" s="54"/>
      <c r="Y155" s="54" t="s">
        <v>85</v>
      </c>
      <c r="Z155" s="54"/>
      <c r="AA155" s="54"/>
      <c r="AB155" s="54"/>
      <c r="AC155" s="58">
        <v>43435</v>
      </c>
      <c r="AD155" s="7"/>
      <c r="AE155" s="7"/>
      <c r="AF155" s="46"/>
      <c r="AG155" s="47"/>
      <c r="AH155" s="46"/>
      <c r="AI155" s="46"/>
    </row>
    <row r="156" spans="1:35" x14ac:dyDescent="0.25">
      <c r="A156" s="36">
        <v>149</v>
      </c>
      <c r="B156" s="53" t="s">
        <v>1345</v>
      </c>
      <c r="C156" s="54" t="s">
        <v>1346</v>
      </c>
      <c r="D156" s="55">
        <v>33109</v>
      </c>
      <c r="E156" s="54" t="s">
        <v>40</v>
      </c>
      <c r="F156" s="53"/>
      <c r="G156" s="54" t="s">
        <v>1347</v>
      </c>
      <c r="H156" s="54"/>
      <c r="I156" s="54"/>
      <c r="J156" s="54" t="s">
        <v>1348</v>
      </c>
      <c r="K156" s="54"/>
      <c r="L156" s="54"/>
      <c r="M156" s="54"/>
      <c r="N156" s="54"/>
      <c r="O156" s="54"/>
      <c r="P156" s="54"/>
      <c r="Q156" s="54" t="s">
        <v>1349</v>
      </c>
      <c r="R156" s="57" t="s">
        <v>74</v>
      </c>
      <c r="S156" s="54" t="s">
        <v>1350</v>
      </c>
      <c r="T156" s="54"/>
      <c r="U156" s="54"/>
      <c r="V156" s="55">
        <v>42639</v>
      </c>
      <c r="W156" s="54"/>
      <c r="X156" s="54"/>
      <c r="Y156" s="54" t="s">
        <v>85</v>
      </c>
      <c r="Z156" s="54"/>
      <c r="AA156" s="54"/>
      <c r="AB156" s="54"/>
      <c r="AC156" s="58">
        <v>42642</v>
      </c>
      <c r="AD156" s="7"/>
      <c r="AE156" s="7"/>
      <c r="AF156" s="46"/>
      <c r="AG156" s="47"/>
      <c r="AH156" s="46"/>
      <c r="AI156" s="46"/>
    </row>
    <row r="157" spans="1:35" x14ac:dyDescent="0.25">
      <c r="A157" s="36">
        <v>150</v>
      </c>
      <c r="B157" s="53" t="s">
        <v>1351</v>
      </c>
      <c r="C157" s="54" t="s">
        <v>1352</v>
      </c>
      <c r="D157" s="55">
        <v>34453</v>
      </c>
      <c r="E157" s="54" t="s">
        <v>40</v>
      </c>
      <c r="F157" s="53"/>
      <c r="G157" s="54" t="s">
        <v>1353</v>
      </c>
      <c r="H157" s="54"/>
      <c r="I157" s="54"/>
      <c r="J157" s="54" t="s">
        <v>1354</v>
      </c>
      <c r="K157" s="54"/>
      <c r="L157" s="54"/>
      <c r="M157" s="54"/>
      <c r="N157" s="54"/>
      <c r="O157" s="54"/>
      <c r="P157" s="54"/>
      <c r="Q157" s="54" t="s">
        <v>1355</v>
      </c>
      <c r="R157" s="57" t="s">
        <v>74</v>
      </c>
      <c r="S157" s="54" t="s">
        <v>1356</v>
      </c>
      <c r="T157" s="54"/>
      <c r="U157" s="54" t="s">
        <v>1357</v>
      </c>
      <c r="V157" s="55">
        <v>42639</v>
      </c>
      <c r="W157" s="54"/>
      <c r="X157" s="54"/>
      <c r="Y157" s="54" t="s">
        <v>85</v>
      </c>
      <c r="Z157" s="54"/>
      <c r="AA157" s="54"/>
      <c r="AB157" s="54"/>
      <c r="AC157" s="58">
        <v>43678</v>
      </c>
      <c r="AD157" s="7"/>
      <c r="AE157" s="7"/>
      <c r="AF157" s="46"/>
      <c r="AG157" s="47"/>
      <c r="AH157" s="46"/>
      <c r="AI157" s="46"/>
    </row>
    <row r="158" spans="1:35" x14ac:dyDescent="0.25">
      <c r="A158" s="36">
        <v>151</v>
      </c>
      <c r="B158" s="37" t="s">
        <v>1358</v>
      </c>
      <c r="C158" s="38" t="s">
        <v>1359</v>
      </c>
      <c r="D158" s="39">
        <v>33271</v>
      </c>
      <c r="E158" s="38" t="s">
        <v>40</v>
      </c>
      <c r="F158" s="40" t="s">
        <v>48</v>
      </c>
      <c r="G158" s="38" t="s">
        <v>1360</v>
      </c>
      <c r="H158" s="38" t="s">
        <v>72</v>
      </c>
      <c r="I158" s="38" t="s">
        <v>114</v>
      </c>
      <c r="J158" s="41" t="s">
        <v>1361</v>
      </c>
      <c r="K158" s="41"/>
      <c r="L158" s="43"/>
      <c r="M158" s="38" t="s">
        <v>99</v>
      </c>
      <c r="N158" s="43" t="s">
        <v>1362</v>
      </c>
      <c r="O158" s="43" t="s">
        <v>147</v>
      </c>
      <c r="P158" s="43" t="s">
        <v>1363</v>
      </c>
      <c r="Q158" s="41" t="s">
        <v>1364</v>
      </c>
      <c r="R158" s="50" t="s">
        <v>1365</v>
      </c>
      <c r="S158" s="38" t="s">
        <v>1366</v>
      </c>
      <c r="T158" s="38" t="s">
        <v>1367</v>
      </c>
      <c r="U158" s="38" t="s">
        <v>1368</v>
      </c>
      <c r="V158" s="60">
        <v>42646</v>
      </c>
      <c r="W158" s="41" t="s">
        <v>1369</v>
      </c>
      <c r="X158" s="38" t="s">
        <v>1370</v>
      </c>
      <c r="Y158" s="38" t="s">
        <v>52</v>
      </c>
      <c r="Z158" s="38" t="s">
        <v>416</v>
      </c>
      <c r="AA158" s="38" t="s">
        <v>777</v>
      </c>
      <c r="AB158" s="38" t="s">
        <v>778</v>
      </c>
      <c r="AC158" s="45"/>
      <c r="AD158" s="7"/>
      <c r="AE158" s="7"/>
      <c r="AF158" s="46" t="str">
        <f>IF(R158="","",RIGHT(R158,LEN(R158)-FIND("@",R158)))</f>
        <v>gmail.com</v>
      </c>
      <c r="AG158" s="47">
        <f>LEN(R158)-LEN(SUBSTITUTE(R158," ",""))</f>
        <v>0</v>
      </c>
      <c r="AH158" s="46" t="str">
        <f>SUBSTITUTE(R158," ","")</f>
        <v>madeariawan396@gmail.com</v>
      </c>
      <c r="AI158" s="46">
        <f>LEN(AH158)-LEN(SUBSTITUTE(AH158," ",""))</f>
        <v>0</v>
      </c>
    </row>
    <row r="159" spans="1:35" x14ac:dyDescent="0.25">
      <c r="A159" s="48">
        <v>152</v>
      </c>
      <c r="B159" s="53" t="s">
        <v>1371</v>
      </c>
      <c r="C159" s="54" t="s">
        <v>1372</v>
      </c>
      <c r="D159" s="55">
        <v>35326</v>
      </c>
      <c r="E159" s="54" t="s">
        <v>40</v>
      </c>
      <c r="F159" s="53"/>
      <c r="G159" s="54" t="s">
        <v>1373</v>
      </c>
      <c r="H159" s="54"/>
      <c r="I159" s="54"/>
      <c r="J159" s="54" t="s">
        <v>1374</v>
      </c>
      <c r="K159" s="54"/>
      <c r="L159" s="54"/>
      <c r="M159" s="54"/>
      <c r="N159" s="54"/>
      <c r="O159" s="54"/>
      <c r="P159" s="54"/>
      <c r="Q159" s="54" t="s">
        <v>1375</v>
      </c>
      <c r="R159" s="57" t="s">
        <v>74</v>
      </c>
      <c r="S159" s="54" t="s">
        <v>1373</v>
      </c>
      <c r="T159" s="54"/>
      <c r="U159" s="54"/>
      <c r="V159" s="55">
        <v>42646</v>
      </c>
      <c r="W159" s="54"/>
      <c r="X159" s="54"/>
      <c r="Y159" s="54" t="s">
        <v>85</v>
      </c>
      <c r="Z159" s="54"/>
      <c r="AA159" s="54"/>
      <c r="AB159" s="54"/>
      <c r="AC159" s="58">
        <v>42917</v>
      </c>
      <c r="AD159" s="7"/>
      <c r="AE159" s="7"/>
      <c r="AF159" s="46" t="str">
        <f>IF(R159="","",RIGHT(R159,LEN(R159)-FIND("@",R159)))</f>
        <v/>
      </c>
      <c r="AG159" s="47">
        <f>LEN(R159)-LEN(SUBSTITUTE(R159," ",""))</f>
        <v>0</v>
      </c>
      <c r="AH159" s="46" t="str">
        <f>SUBSTITUTE(R159," ","")</f>
        <v/>
      </c>
      <c r="AI159" s="46">
        <f>LEN(AH159)-LEN(SUBSTITUTE(AH159," ",""))</f>
        <v>0</v>
      </c>
    </row>
    <row r="160" spans="1:35" x14ac:dyDescent="0.25">
      <c r="A160" s="36">
        <v>153</v>
      </c>
      <c r="B160" s="37" t="s">
        <v>1376</v>
      </c>
      <c r="C160" s="38" t="s">
        <v>1377</v>
      </c>
      <c r="D160" s="39">
        <v>34923</v>
      </c>
      <c r="E160" s="38" t="s">
        <v>40</v>
      </c>
      <c r="F160" s="38" t="s">
        <v>129</v>
      </c>
      <c r="G160" s="38" t="s">
        <v>1378</v>
      </c>
      <c r="H160" s="38" t="s">
        <v>72</v>
      </c>
      <c r="I160" s="38" t="s">
        <v>114</v>
      </c>
      <c r="J160" s="41" t="s">
        <v>1379</v>
      </c>
      <c r="K160" s="41" t="s">
        <v>1380</v>
      </c>
      <c r="L160" s="41"/>
      <c r="M160" s="38" t="s">
        <v>99</v>
      </c>
      <c r="N160" s="41" t="s">
        <v>1381</v>
      </c>
      <c r="O160" s="41" t="s">
        <v>164</v>
      </c>
      <c r="P160" s="41" t="s">
        <v>1382</v>
      </c>
      <c r="Q160" s="41" t="s">
        <v>1383</v>
      </c>
      <c r="R160" s="50" t="s">
        <v>1384</v>
      </c>
      <c r="S160" s="38" t="s">
        <v>1385</v>
      </c>
      <c r="T160" s="38" t="s">
        <v>450</v>
      </c>
      <c r="U160" s="38" t="s">
        <v>1386</v>
      </c>
      <c r="V160" s="60">
        <v>42653</v>
      </c>
      <c r="W160" s="41" t="s">
        <v>1387</v>
      </c>
      <c r="X160" s="38" t="s">
        <v>1388</v>
      </c>
      <c r="Y160" s="38" t="s">
        <v>52</v>
      </c>
      <c r="Z160" s="38" t="s">
        <v>454</v>
      </c>
      <c r="AA160" s="38" t="s">
        <v>1389</v>
      </c>
      <c r="AB160" s="38" t="s">
        <v>55</v>
      </c>
      <c r="AC160" s="45"/>
      <c r="AD160" s="7"/>
      <c r="AE160" s="7"/>
      <c r="AF160" s="46" t="str">
        <f>IF(R160="","",RIGHT(R160,LEN(R160)-FIND("@",R160)))</f>
        <v>gmail.com</v>
      </c>
      <c r="AG160" s="47">
        <f>LEN(R160)-LEN(SUBSTITUTE(R160," ",""))</f>
        <v>0</v>
      </c>
      <c r="AH160" s="46" t="str">
        <f>SUBSTITUTE(R160," ","")</f>
        <v>agussuryaarta@gmail.com</v>
      </c>
      <c r="AI160" s="46">
        <f>LEN(AH160)-LEN(SUBSTITUTE(AH160," ",""))</f>
        <v>0</v>
      </c>
    </row>
    <row r="161" spans="1:35" x14ac:dyDescent="0.25">
      <c r="A161" s="36">
        <v>154</v>
      </c>
      <c r="B161" s="53" t="s">
        <v>1390</v>
      </c>
      <c r="C161" s="54" t="s">
        <v>1391</v>
      </c>
      <c r="D161" s="55">
        <v>34011</v>
      </c>
      <c r="E161" s="54" t="s">
        <v>40</v>
      </c>
      <c r="F161" s="53"/>
      <c r="G161" s="54" t="s">
        <v>1392</v>
      </c>
      <c r="H161" s="54"/>
      <c r="I161" s="54"/>
      <c r="J161" s="54" t="s">
        <v>1393</v>
      </c>
      <c r="K161" s="54"/>
      <c r="L161" s="54"/>
      <c r="M161" s="54"/>
      <c r="N161" s="54"/>
      <c r="O161" s="54"/>
      <c r="P161" s="54"/>
      <c r="Q161" s="54" t="s">
        <v>1394</v>
      </c>
      <c r="R161" s="57" t="s">
        <v>74</v>
      </c>
      <c r="S161" s="54" t="s">
        <v>1395</v>
      </c>
      <c r="T161" s="54"/>
      <c r="U161" s="54"/>
      <c r="V161" s="55">
        <v>42653</v>
      </c>
      <c r="W161" s="54"/>
      <c r="X161" s="54"/>
      <c r="Y161" s="54" t="s">
        <v>85</v>
      </c>
      <c r="Z161" s="54"/>
      <c r="AA161" s="54"/>
      <c r="AB161" s="54"/>
      <c r="AC161" s="58">
        <v>42675</v>
      </c>
      <c r="AD161" s="7"/>
      <c r="AE161" s="7"/>
      <c r="AF161" s="46"/>
      <c r="AG161" s="47"/>
      <c r="AH161" s="46"/>
      <c r="AI161" s="46"/>
    </row>
    <row r="162" spans="1:35" x14ac:dyDescent="0.25">
      <c r="A162" s="36">
        <v>155</v>
      </c>
      <c r="B162" s="53" t="s">
        <v>1396</v>
      </c>
      <c r="C162" s="54" t="s">
        <v>1397</v>
      </c>
      <c r="D162" s="55">
        <v>33135</v>
      </c>
      <c r="E162" s="54" t="s">
        <v>40</v>
      </c>
      <c r="F162" s="53"/>
      <c r="G162" s="54" t="s">
        <v>1398</v>
      </c>
      <c r="H162" s="54"/>
      <c r="I162" s="54"/>
      <c r="J162" s="54" t="s">
        <v>1399</v>
      </c>
      <c r="K162" s="54"/>
      <c r="L162" s="54"/>
      <c r="M162" s="54"/>
      <c r="N162" s="54"/>
      <c r="O162" s="54"/>
      <c r="P162" s="54"/>
      <c r="Q162" s="54" t="s">
        <v>1400</v>
      </c>
      <c r="R162" s="57" t="s">
        <v>74</v>
      </c>
      <c r="S162" s="54" t="s">
        <v>1401</v>
      </c>
      <c r="T162" s="54"/>
      <c r="U162" s="54"/>
      <c r="V162" s="55">
        <v>42653</v>
      </c>
      <c r="W162" s="54"/>
      <c r="X162" s="54"/>
      <c r="Y162" s="54" t="s">
        <v>85</v>
      </c>
      <c r="Z162" s="54"/>
      <c r="AA162" s="54"/>
      <c r="AB162" s="54"/>
      <c r="AC162" s="58">
        <v>42917</v>
      </c>
      <c r="AD162" s="7"/>
      <c r="AE162" s="7"/>
      <c r="AF162" s="46" t="str">
        <f>IF(R162="","",RIGHT(R162,LEN(R162)-FIND("@",R162)))</f>
        <v/>
      </c>
      <c r="AG162" s="47">
        <f>LEN(R162)-LEN(SUBSTITUTE(R162," ",""))</f>
        <v>0</v>
      </c>
      <c r="AH162" s="46" t="str">
        <f>SUBSTITUTE(R162," ","")</f>
        <v/>
      </c>
      <c r="AI162" s="46">
        <f>LEN(AH162)-LEN(SUBSTITUTE(AH162," ",""))</f>
        <v>0</v>
      </c>
    </row>
    <row r="163" spans="1:35" x14ac:dyDescent="0.25">
      <c r="A163" s="36">
        <v>156</v>
      </c>
      <c r="B163" s="53" t="s">
        <v>1402</v>
      </c>
      <c r="C163" s="54" t="s">
        <v>1403</v>
      </c>
      <c r="D163" s="55">
        <v>35914</v>
      </c>
      <c r="E163" s="54" t="s">
        <v>40</v>
      </c>
      <c r="F163" s="53"/>
      <c r="G163" s="54" t="s">
        <v>1404</v>
      </c>
      <c r="H163" s="54"/>
      <c r="I163" s="54"/>
      <c r="J163" s="54" t="s">
        <v>1405</v>
      </c>
      <c r="K163" s="54"/>
      <c r="L163" s="54"/>
      <c r="M163" s="54"/>
      <c r="N163" s="54"/>
      <c r="O163" s="54"/>
      <c r="P163" s="54"/>
      <c r="Q163" s="54" t="s">
        <v>1406</v>
      </c>
      <c r="R163" s="57" t="s">
        <v>74</v>
      </c>
      <c r="S163" s="54" t="s">
        <v>1407</v>
      </c>
      <c r="T163" s="54"/>
      <c r="U163" s="54" t="s">
        <v>1408</v>
      </c>
      <c r="V163" s="55">
        <v>42653</v>
      </c>
      <c r="W163" s="54"/>
      <c r="X163" s="54"/>
      <c r="Y163" s="54" t="s">
        <v>85</v>
      </c>
      <c r="Z163" s="54"/>
      <c r="AA163" s="54"/>
      <c r="AB163" s="54"/>
      <c r="AC163" s="58">
        <v>43470</v>
      </c>
      <c r="AD163" s="7"/>
      <c r="AE163" s="7"/>
      <c r="AF163" s="46"/>
      <c r="AG163" s="47"/>
      <c r="AH163" s="46"/>
      <c r="AI163" s="46"/>
    </row>
    <row r="164" spans="1:35" x14ac:dyDescent="0.25">
      <c r="A164" s="36">
        <v>157</v>
      </c>
      <c r="B164" s="53" t="s">
        <v>1409</v>
      </c>
      <c r="C164" s="54" t="s">
        <v>1410</v>
      </c>
      <c r="D164" s="55">
        <v>34746</v>
      </c>
      <c r="E164" s="54" t="s">
        <v>95</v>
      </c>
      <c r="F164" s="53"/>
      <c r="G164" s="54" t="s">
        <v>1411</v>
      </c>
      <c r="H164" s="54"/>
      <c r="I164" s="54"/>
      <c r="J164" s="54" t="s">
        <v>1412</v>
      </c>
      <c r="K164" s="54"/>
      <c r="L164" s="54"/>
      <c r="M164" s="54" t="s">
        <v>99</v>
      </c>
      <c r="N164" s="54"/>
      <c r="O164" s="54"/>
      <c r="P164" s="54"/>
      <c r="Q164" s="54" t="s">
        <v>1413</v>
      </c>
      <c r="R164" s="57" t="s">
        <v>74</v>
      </c>
      <c r="S164" s="54" t="s">
        <v>1414</v>
      </c>
      <c r="T164" s="54"/>
      <c r="U164" s="54"/>
      <c r="V164" s="55">
        <v>42658</v>
      </c>
      <c r="W164" s="54"/>
      <c r="X164" s="54"/>
      <c r="Y164" s="54" t="s">
        <v>85</v>
      </c>
      <c r="Z164" s="54"/>
      <c r="AA164" s="54"/>
      <c r="AB164" s="54"/>
      <c r="AC164" s="58">
        <v>42873</v>
      </c>
      <c r="AD164" s="7"/>
      <c r="AE164" s="7"/>
      <c r="AF164" s="46"/>
      <c r="AG164" s="47"/>
      <c r="AH164" s="46"/>
      <c r="AI164" s="46"/>
    </row>
    <row r="165" spans="1:35" x14ac:dyDescent="0.25">
      <c r="A165" s="48">
        <v>158</v>
      </c>
      <c r="B165" s="53" t="s">
        <v>1415</v>
      </c>
      <c r="C165" s="54" t="s">
        <v>418</v>
      </c>
      <c r="D165" s="55">
        <v>34552</v>
      </c>
      <c r="E165" s="54" t="s">
        <v>40</v>
      </c>
      <c r="F165" s="53"/>
      <c r="G165" s="54" t="s">
        <v>419</v>
      </c>
      <c r="H165" s="54"/>
      <c r="I165" s="54"/>
      <c r="J165" s="54" t="s">
        <v>1416</v>
      </c>
      <c r="K165" s="54"/>
      <c r="L165" s="54"/>
      <c r="M165" s="54"/>
      <c r="N165" s="54"/>
      <c r="O165" s="54"/>
      <c r="P165" s="54"/>
      <c r="Q165" s="54" t="s">
        <v>1417</v>
      </c>
      <c r="R165" s="57" t="s">
        <v>74</v>
      </c>
      <c r="S165" s="54" t="s">
        <v>1418</v>
      </c>
      <c r="T165" s="54"/>
      <c r="U165" s="54"/>
      <c r="V165" s="55">
        <v>42661</v>
      </c>
      <c r="W165" s="54"/>
      <c r="X165" s="54"/>
      <c r="Y165" s="54" t="s">
        <v>85</v>
      </c>
      <c r="Z165" s="54"/>
      <c r="AA165" s="54"/>
      <c r="AB165" s="54"/>
      <c r="AC165" s="58">
        <v>42736</v>
      </c>
      <c r="AD165" s="7"/>
      <c r="AE165" s="7"/>
      <c r="AF165" s="46"/>
      <c r="AG165" s="47"/>
      <c r="AH165" s="46"/>
      <c r="AI165" s="46"/>
    </row>
    <row r="166" spans="1:35" x14ac:dyDescent="0.25">
      <c r="A166" s="36">
        <v>159</v>
      </c>
      <c r="B166" s="37" t="s">
        <v>1419</v>
      </c>
      <c r="C166" s="38" t="s">
        <v>328</v>
      </c>
      <c r="D166" s="39">
        <v>35045</v>
      </c>
      <c r="E166" s="38" t="s">
        <v>40</v>
      </c>
      <c r="F166" s="40" t="s">
        <v>48</v>
      </c>
      <c r="G166" s="38" t="s">
        <v>1420</v>
      </c>
      <c r="H166" s="38" t="s">
        <v>113</v>
      </c>
      <c r="I166" s="38" t="s">
        <v>44</v>
      </c>
      <c r="J166" s="41" t="s">
        <v>1421</v>
      </c>
      <c r="K166" s="41" t="s">
        <v>1422</v>
      </c>
      <c r="L166" s="43"/>
      <c r="M166" s="38" t="s">
        <v>632</v>
      </c>
      <c r="N166" s="43" t="s">
        <v>48</v>
      </c>
      <c r="O166" s="43"/>
      <c r="P166" s="41" t="s">
        <v>1423</v>
      </c>
      <c r="Q166" s="41" t="s">
        <v>1424</v>
      </c>
      <c r="R166" s="50" t="s">
        <v>1425</v>
      </c>
      <c r="S166" s="38" t="s">
        <v>1426</v>
      </c>
      <c r="T166" s="38" t="s">
        <v>65</v>
      </c>
      <c r="U166" s="40" t="s">
        <v>1427</v>
      </c>
      <c r="V166" s="60">
        <v>42662</v>
      </c>
      <c r="W166" s="41" t="s">
        <v>1428</v>
      </c>
      <c r="X166" s="38" t="s">
        <v>1429</v>
      </c>
      <c r="Y166" s="38" t="s">
        <v>52</v>
      </c>
      <c r="Z166" s="38" t="s">
        <v>156</v>
      </c>
      <c r="AA166" s="38" t="s">
        <v>125</v>
      </c>
      <c r="AB166" s="38" t="s">
        <v>246</v>
      </c>
      <c r="AC166" s="45"/>
      <c r="AD166" s="7"/>
      <c r="AE166" s="7"/>
      <c r="AF166" s="46" t="str">
        <f>IF(R166="","",RIGHT(R166,LEN(R166)-FIND("@",R166)))</f>
        <v>gmail.com</v>
      </c>
      <c r="AG166" s="47">
        <f>LEN(R166)-LEN(SUBSTITUTE(R166," ",""))</f>
        <v>0</v>
      </c>
      <c r="AH166" s="46" t="str">
        <f>SUBSTITUTE(R166," ","")</f>
        <v>fananifaisal36@gmail.com</v>
      </c>
      <c r="AI166" s="46">
        <f>LEN(AH166)-LEN(SUBSTITUTE(AH166," ",""))</f>
        <v>0</v>
      </c>
    </row>
    <row r="167" spans="1:35" x14ac:dyDescent="0.25">
      <c r="A167" s="36">
        <v>160</v>
      </c>
      <c r="B167" s="53" t="s">
        <v>1430</v>
      </c>
      <c r="C167" s="54" t="s">
        <v>548</v>
      </c>
      <c r="D167" s="55">
        <v>32639</v>
      </c>
      <c r="E167" s="54" t="s">
        <v>40</v>
      </c>
      <c r="F167" s="53"/>
      <c r="G167" s="54" t="s">
        <v>1431</v>
      </c>
      <c r="H167" s="54"/>
      <c r="I167" s="54"/>
      <c r="J167" s="54" t="s">
        <v>1432</v>
      </c>
      <c r="K167" s="54"/>
      <c r="L167" s="54"/>
      <c r="M167" s="54"/>
      <c r="N167" s="54"/>
      <c r="O167" s="54"/>
      <c r="P167" s="54"/>
      <c r="Q167" s="54" t="s">
        <v>1433</v>
      </c>
      <c r="R167" s="57" t="s">
        <v>74</v>
      </c>
      <c r="S167" s="54" t="s">
        <v>1434</v>
      </c>
      <c r="T167" s="54"/>
      <c r="U167" s="54"/>
      <c r="V167" s="55">
        <v>42662</v>
      </c>
      <c r="W167" s="54"/>
      <c r="X167" s="54"/>
      <c r="Y167" s="54" t="s">
        <v>85</v>
      </c>
      <c r="Z167" s="54"/>
      <c r="AA167" s="54"/>
      <c r="AB167" s="54"/>
      <c r="AC167" s="58">
        <v>42675</v>
      </c>
      <c r="AD167" s="7"/>
      <c r="AE167" s="7"/>
      <c r="AF167" s="46"/>
      <c r="AG167" s="47"/>
      <c r="AH167" s="46"/>
      <c r="AI167" s="46"/>
    </row>
    <row r="168" spans="1:35" x14ac:dyDescent="0.25">
      <c r="A168" s="36">
        <v>161</v>
      </c>
      <c r="B168" s="53" t="s">
        <v>1435</v>
      </c>
      <c r="C168" s="54" t="s">
        <v>328</v>
      </c>
      <c r="D168" s="55">
        <v>32636</v>
      </c>
      <c r="E168" s="54" t="s">
        <v>40</v>
      </c>
      <c r="F168" s="53"/>
      <c r="G168" s="54" t="s">
        <v>1436</v>
      </c>
      <c r="H168" s="54"/>
      <c r="I168" s="54"/>
      <c r="J168" s="54" t="s">
        <v>1437</v>
      </c>
      <c r="K168" s="54"/>
      <c r="L168" s="54"/>
      <c r="M168" s="54"/>
      <c r="N168" s="54"/>
      <c r="O168" s="54"/>
      <c r="P168" s="54"/>
      <c r="Q168" s="54" t="s">
        <v>1438</v>
      </c>
      <c r="R168" s="57" t="s">
        <v>74</v>
      </c>
      <c r="S168" s="54" t="s">
        <v>1439</v>
      </c>
      <c r="T168" s="54"/>
      <c r="U168" s="54"/>
      <c r="V168" s="55">
        <v>42662</v>
      </c>
      <c r="W168" s="54"/>
      <c r="X168" s="54"/>
      <c r="Y168" s="54" t="s">
        <v>85</v>
      </c>
      <c r="Z168" s="54"/>
      <c r="AA168" s="54"/>
      <c r="AB168" s="54"/>
      <c r="AC168" s="58">
        <v>42675</v>
      </c>
      <c r="AD168" s="7"/>
      <c r="AE168" s="7"/>
      <c r="AF168" s="46"/>
      <c r="AG168" s="47"/>
      <c r="AH168" s="46"/>
      <c r="AI168" s="46"/>
    </row>
    <row r="169" spans="1:35" x14ac:dyDescent="0.25">
      <c r="A169" s="36">
        <v>162</v>
      </c>
      <c r="B169" s="37" t="s">
        <v>1440</v>
      </c>
      <c r="C169" s="38" t="s">
        <v>1065</v>
      </c>
      <c r="D169" s="39">
        <v>34387</v>
      </c>
      <c r="E169" s="38" t="s">
        <v>95</v>
      </c>
      <c r="F169" s="38" t="s">
        <v>48</v>
      </c>
      <c r="G169" s="38" t="s">
        <v>1441</v>
      </c>
      <c r="H169" s="38" t="s">
        <v>72</v>
      </c>
      <c r="I169" s="38" t="s">
        <v>114</v>
      </c>
      <c r="J169" s="40" t="s">
        <v>1442</v>
      </c>
      <c r="K169" s="40" t="s">
        <v>1443</v>
      </c>
      <c r="L169" s="40"/>
      <c r="M169" s="38" t="s">
        <v>99</v>
      </c>
      <c r="N169" s="40" t="s">
        <v>1444</v>
      </c>
      <c r="O169" s="40" t="s">
        <v>147</v>
      </c>
      <c r="P169" s="40" t="s">
        <v>1445</v>
      </c>
      <c r="Q169" s="40" t="s">
        <v>1446</v>
      </c>
      <c r="R169" s="50" t="s">
        <v>1447</v>
      </c>
      <c r="S169" s="38" t="s">
        <v>1448</v>
      </c>
      <c r="T169" s="38" t="s">
        <v>450</v>
      </c>
      <c r="U169" s="38" t="s">
        <v>1449</v>
      </c>
      <c r="V169" s="60">
        <v>42664</v>
      </c>
      <c r="W169" s="65" t="s">
        <v>1450</v>
      </c>
      <c r="X169" s="38" t="s">
        <v>1451</v>
      </c>
      <c r="Y169" s="38" t="s">
        <v>52</v>
      </c>
      <c r="Z169" s="38" t="s">
        <v>396</v>
      </c>
      <c r="AA169" s="38" t="s">
        <v>397</v>
      </c>
      <c r="AB169" s="38" t="s">
        <v>55</v>
      </c>
      <c r="AC169" s="45"/>
      <c r="AD169" s="7"/>
      <c r="AE169" s="7"/>
      <c r="AF169" s="46" t="str">
        <f>IF(R169="","",RIGHT(R169,LEN(R169)-FIND("@",R169)))</f>
        <v>gmail.com</v>
      </c>
      <c r="AG169" s="47">
        <f>LEN(R169)-LEN(SUBSTITUTE(R169," ",""))</f>
        <v>0</v>
      </c>
      <c r="AH169" s="46" t="str">
        <f>SUBSTITUTE(R169," ","")</f>
        <v>febby1822@gmail.com</v>
      </c>
      <c r="AI169" s="46">
        <f>LEN(AH169)-LEN(SUBSTITUTE(AH169," ",""))</f>
        <v>0</v>
      </c>
    </row>
    <row r="170" spans="1:35" x14ac:dyDescent="0.25">
      <c r="A170" s="36">
        <v>163</v>
      </c>
      <c r="B170" s="37" t="s">
        <v>1452</v>
      </c>
      <c r="C170" s="38" t="s">
        <v>1453</v>
      </c>
      <c r="D170" s="39">
        <v>33537</v>
      </c>
      <c r="E170" s="38" t="s">
        <v>40</v>
      </c>
      <c r="F170" s="40" t="s">
        <v>48</v>
      </c>
      <c r="G170" s="38" t="s">
        <v>1454</v>
      </c>
      <c r="H170" s="38" t="s">
        <v>72</v>
      </c>
      <c r="I170" s="38" t="s">
        <v>44</v>
      </c>
      <c r="J170" s="41" t="s">
        <v>1455</v>
      </c>
      <c r="K170" s="41" t="s">
        <v>1456</v>
      </c>
      <c r="L170" s="43"/>
      <c r="M170" s="38" t="s">
        <v>99</v>
      </c>
      <c r="N170" s="43" t="s">
        <v>48</v>
      </c>
      <c r="O170" s="43"/>
      <c r="P170" s="41" t="s">
        <v>1457</v>
      </c>
      <c r="Q170" s="41" t="s">
        <v>1458</v>
      </c>
      <c r="R170" s="50" t="s">
        <v>1459</v>
      </c>
      <c r="S170" s="38" t="s">
        <v>1460</v>
      </c>
      <c r="T170" s="38" t="s">
        <v>152</v>
      </c>
      <c r="U170" s="38" t="s">
        <v>1461</v>
      </c>
      <c r="V170" s="60">
        <v>42665</v>
      </c>
      <c r="W170" s="41" t="s">
        <v>1462</v>
      </c>
      <c r="X170" s="38" t="s">
        <v>1463</v>
      </c>
      <c r="Y170" s="38" t="s">
        <v>52</v>
      </c>
      <c r="Z170" s="38" t="s">
        <v>1315</v>
      </c>
      <c r="AA170" s="38" t="s">
        <v>777</v>
      </c>
      <c r="AB170" s="38" t="s">
        <v>778</v>
      </c>
      <c r="AC170" s="45"/>
      <c r="AD170" s="7"/>
      <c r="AE170" s="7"/>
      <c r="AF170" s="46" t="str">
        <f>IF(R170="","",RIGHT(R170,LEN(R170)-FIND("@",R170)))</f>
        <v>gmail.com</v>
      </c>
      <c r="AG170" s="47">
        <f>LEN(R170)-LEN(SUBSTITUTE(R170," ",""))</f>
        <v>0</v>
      </c>
      <c r="AH170" s="46" t="str">
        <f>SUBSTITUTE(R170," ","")</f>
        <v>kadeksanta91@gmail.com</v>
      </c>
      <c r="AI170" s="46">
        <f>LEN(AH170)-LEN(SUBSTITUTE(AH170," ",""))</f>
        <v>0</v>
      </c>
    </row>
    <row r="171" spans="1:35" x14ac:dyDescent="0.25">
      <c r="A171" s="48">
        <v>164</v>
      </c>
      <c r="B171" s="53" t="s">
        <v>1464</v>
      </c>
      <c r="C171" s="54" t="s">
        <v>94</v>
      </c>
      <c r="D171" s="55">
        <v>34912</v>
      </c>
      <c r="E171" s="54" t="s">
        <v>40</v>
      </c>
      <c r="F171" s="53"/>
      <c r="G171" s="54" t="s">
        <v>1465</v>
      </c>
      <c r="H171" s="54"/>
      <c r="I171" s="54"/>
      <c r="J171" s="54" t="s">
        <v>1466</v>
      </c>
      <c r="K171" s="54"/>
      <c r="L171" s="54"/>
      <c r="M171" s="54"/>
      <c r="N171" s="54"/>
      <c r="O171" s="54"/>
      <c r="P171" s="54"/>
      <c r="Q171" s="54" t="s">
        <v>1467</v>
      </c>
      <c r="R171" s="57" t="s">
        <v>74</v>
      </c>
      <c r="S171" s="54" t="s">
        <v>1465</v>
      </c>
      <c r="T171" s="54"/>
      <c r="U171" s="54" t="s">
        <v>1468</v>
      </c>
      <c r="V171" s="55">
        <v>42665</v>
      </c>
      <c r="W171" s="54"/>
      <c r="X171" s="54"/>
      <c r="Y171" s="54" t="s">
        <v>85</v>
      </c>
      <c r="Z171" s="54"/>
      <c r="AA171" s="54"/>
      <c r="AB171" s="54"/>
      <c r="AC171" s="58">
        <v>43424</v>
      </c>
      <c r="AD171" s="7"/>
      <c r="AE171" s="7"/>
      <c r="AF171" s="46" t="str">
        <f>IF(R171="","",RIGHT(R171,LEN(R171)-FIND("@",R171)))</f>
        <v/>
      </c>
      <c r="AG171" s="47">
        <f>LEN(R171)-LEN(SUBSTITUTE(R171," ",""))</f>
        <v>0</v>
      </c>
      <c r="AH171" s="46" t="str">
        <f>SUBSTITUTE(R171," ","")</f>
        <v/>
      </c>
      <c r="AI171" s="46">
        <f>LEN(AH171)-LEN(SUBSTITUTE(AH171," ",""))</f>
        <v>0</v>
      </c>
    </row>
    <row r="172" spans="1:35" x14ac:dyDescent="0.25">
      <c r="A172" s="36">
        <v>165</v>
      </c>
      <c r="B172" s="53" t="s">
        <v>1469</v>
      </c>
      <c r="C172" s="54" t="s">
        <v>94</v>
      </c>
      <c r="D172" s="55">
        <v>35955</v>
      </c>
      <c r="E172" s="54" t="s">
        <v>40</v>
      </c>
      <c r="F172" s="53"/>
      <c r="G172" s="54" t="s">
        <v>1470</v>
      </c>
      <c r="H172" s="54"/>
      <c r="I172" s="54"/>
      <c r="J172" s="54" t="s">
        <v>1471</v>
      </c>
      <c r="K172" s="54"/>
      <c r="L172" s="54"/>
      <c r="M172" s="54"/>
      <c r="N172" s="54"/>
      <c r="O172" s="54"/>
      <c r="P172" s="54"/>
      <c r="Q172" s="54" t="s">
        <v>1472</v>
      </c>
      <c r="R172" s="57" t="s">
        <v>74</v>
      </c>
      <c r="S172" s="54" t="s">
        <v>1473</v>
      </c>
      <c r="T172" s="54"/>
      <c r="U172" s="54" t="s">
        <v>1474</v>
      </c>
      <c r="V172" s="55">
        <v>42668</v>
      </c>
      <c r="W172" s="54"/>
      <c r="X172" s="54"/>
      <c r="Y172" s="54" t="s">
        <v>85</v>
      </c>
      <c r="Z172" s="54"/>
      <c r="AA172" s="54"/>
      <c r="AB172" s="54"/>
      <c r="AC172" s="58">
        <v>43466</v>
      </c>
      <c r="AD172" s="7"/>
      <c r="AE172" s="7"/>
      <c r="AF172" s="46" t="str">
        <f>IF(R172="","",RIGHT(R172,LEN(R172)-FIND("@",R172)))</f>
        <v/>
      </c>
      <c r="AG172" s="47">
        <f>LEN(R172)-LEN(SUBSTITUTE(R172," ",""))</f>
        <v>0</v>
      </c>
      <c r="AH172" s="46" t="str">
        <f>SUBSTITUTE(R172," ","")</f>
        <v/>
      </c>
      <c r="AI172" s="46">
        <f>LEN(AH172)-LEN(SUBSTITUTE(AH172," ",""))</f>
        <v>0</v>
      </c>
    </row>
    <row r="173" spans="1:35" x14ac:dyDescent="0.25">
      <c r="A173" s="36">
        <v>166</v>
      </c>
      <c r="B173" s="53" t="s">
        <v>1475</v>
      </c>
      <c r="C173" s="54" t="s">
        <v>1476</v>
      </c>
      <c r="D173" s="55">
        <v>31808</v>
      </c>
      <c r="E173" s="54" t="s">
        <v>40</v>
      </c>
      <c r="F173" s="53"/>
      <c r="G173" s="54" t="s">
        <v>1477</v>
      </c>
      <c r="H173" s="54"/>
      <c r="I173" s="54"/>
      <c r="J173" s="54"/>
      <c r="K173" s="54"/>
      <c r="L173" s="54"/>
      <c r="M173" s="54"/>
      <c r="N173" s="54"/>
      <c r="O173" s="54"/>
      <c r="P173" s="54"/>
      <c r="Q173" s="54" t="s">
        <v>1478</v>
      </c>
      <c r="R173" s="57" t="s">
        <v>74</v>
      </c>
      <c r="S173" s="54" t="s">
        <v>1479</v>
      </c>
      <c r="T173" s="54"/>
      <c r="U173" s="54"/>
      <c r="V173" s="55">
        <v>42681</v>
      </c>
      <c r="W173" s="54"/>
      <c r="X173" s="54"/>
      <c r="Y173" s="54" t="s">
        <v>85</v>
      </c>
      <c r="Z173" s="54"/>
      <c r="AA173" s="54"/>
      <c r="AB173" s="54"/>
      <c r="AC173" s="58">
        <v>42705</v>
      </c>
      <c r="AD173" s="7"/>
      <c r="AE173" s="7"/>
      <c r="AF173" s="46" t="str">
        <f>IF(R173="","",RIGHT(R173,LEN(R173)-FIND("@",R173)))</f>
        <v/>
      </c>
      <c r="AG173" s="47">
        <f>LEN(R173)-LEN(SUBSTITUTE(R173," ",""))</f>
        <v>0</v>
      </c>
      <c r="AH173" s="46" t="str">
        <f>SUBSTITUTE(R173," ","")</f>
        <v/>
      </c>
      <c r="AI173" s="46">
        <f>LEN(AH173)-LEN(SUBSTITUTE(AH173," ",""))</f>
        <v>0</v>
      </c>
    </row>
    <row r="174" spans="1:35" x14ac:dyDescent="0.25">
      <c r="A174" s="36">
        <v>167</v>
      </c>
      <c r="B174" s="53" t="s">
        <v>1480</v>
      </c>
      <c r="C174" s="54" t="s">
        <v>1481</v>
      </c>
      <c r="D174" s="55">
        <v>35542</v>
      </c>
      <c r="E174" s="54" t="s">
        <v>40</v>
      </c>
      <c r="F174" s="53"/>
      <c r="G174" s="54" t="s">
        <v>1482</v>
      </c>
      <c r="H174" s="54"/>
      <c r="I174" s="54"/>
      <c r="J174" s="54" t="s">
        <v>1483</v>
      </c>
      <c r="K174" s="54"/>
      <c r="L174" s="54"/>
      <c r="M174" s="54"/>
      <c r="N174" s="54"/>
      <c r="O174" s="54"/>
      <c r="P174" s="54"/>
      <c r="Q174" s="54" t="s">
        <v>1484</v>
      </c>
      <c r="R174" s="57" t="s">
        <v>74</v>
      </c>
      <c r="S174" s="54" t="s">
        <v>980</v>
      </c>
      <c r="T174" s="54"/>
      <c r="U174" s="54"/>
      <c r="V174" s="55">
        <v>42681</v>
      </c>
      <c r="W174" s="54"/>
      <c r="X174" s="54"/>
      <c r="Y174" s="54" t="s">
        <v>85</v>
      </c>
      <c r="Z174" s="54"/>
      <c r="AA174" s="54"/>
      <c r="AB174" s="54"/>
      <c r="AC174" s="58">
        <v>42917</v>
      </c>
      <c r="AD174" s="7"/>
      <c r="AE174" s="7"/>
      <c r="AF174" s="46"/>
      <c r="AG174" s="47"/>
      <c r="AH174" s="46"/>
      <c r="AI174" s="46"/>
    </row>
    <row r="175" spans="1:35" x14ac:dyDescent="0.25">
      <c r="A175" s="36">
        <v>168</v>
      </c>
      <c r="B175" s="53" t="s">
        <v>1485</v>
      </c>
      <c r="C175" s="54" t="s">
        <v>1481</v>
      </c>
      <c r="D175" s="55">
        <v>35098</v>
      </c>
      <c r="E175" s="54" t="s">
        <v>40</v>
      </c>
      <c r="F175" s="53"/>
      <c r="G175" s="54" t="s">
        <v>1486</v>
      </c>
      <c r="H175" s="54"/>
      <c r="I175" s="54"/>
      <c r="J175" s="54" t="s">
        <v>1487</v>
      </c>
      <c r="K175" s="54"/>
      <c r="L175" s="54"/>
      <c r="M175" s="54"/>
      <c r="N175" s="54"/>
      <c r="O175" s="54"/>
      <c r="P175" s="54"/>
      <c r="Q175" s="54" t="s">
        <v>1488</v>
      </c>
      <c r="R175" s="57" t="s">
        <v>74</v>
      </c>
      <c r="S175" s="54" t="s">
        <v>1489</v>
      </c>
      <c r="T175" s="54"/>
      <c r="U175" s="54" t="s">
        <v>1490</v>
      </c>
      <c r="V175" s="55">
        <v>42681</v>
      </c>
      <c r="W175" s="54"/>
      <c r="X175" s="54"/>
      <c r="Y175" s="54" t="s">
        <v>85</v>
      </c>
      <c r="Z175" s="54"/>
      <c r="AA175" s="54"/>
      <c r="AB175" s="54"/>
      <c r="AC175" s="58">
        <v>43406</v>
      </c>
      <c r="AD175" s="7"/>
      <c r="AE175" s="7"/>
      <c r="AF175" s="46"/>
      <c r="AG175" s="47"/>
      <c r="AH175" s="46"/>
      <c r="AI175" s="46"/>
    </row>
    <row r="176" spans="1:35" x14ac:dyDescent="0.25">
      <c r="A176" s="36">
        <v>169</v>
      </c>
      <c r="B176" s="53" t="s">
        <v>1491</v>
      </c>
      <c r="C176" s="54" t="s">
        <v>1492</v>
      </c>
      <c r="D176" s="55">
        <v>34650</v>
      </c>
      <c r="E176" s="54" t="s">
        <v>40</v>
      </c>
      <c r="F176" s="53"/>
      <c r="G176" s="54" t="s">
        <v>1493</v>
      </c>
      <c r="H176" s="54"/>
      <c r="I176" s="54"/>
      <c r="J176" s="54"/>
      <c r="K176" s="54"/>
      <c r="L176" s="54"/>
      <c r="M176" s="54"/>
      <c r="N176" s="54"/>
      <c r="O176" s="54"/>
      <c r="P176" s="54"/>
      <c r="Q176" s="54" t="s">
        <v>1494</v>
      </c>
      <c r="R176" s="57" t="s">
        <v>74</v>
      </c>
      <c r="S176" s="54" t="s">
        <v>1479</v>
      </c>
      <c r="T176" s="54"/>
      <c r="U176" s="54"/>
      <c r="V176" s="55">
        <v>42681</v>
      </c>
      <c r="W176" s="54"/>
      <c r="X176" s="54"/>
      <c r="Y176" s="54" t="s">
        <v>85</v>
      </c>
      <c r="Z176" s="54"/>
      <c r="AA176" s="54"/>
      <c r="AB176" s="54"/>
      <c r="AC176" s="58" t="s">
        <v>1495</v>
      </c>
      <c r="AD176" s="7"/>
      <c r="AE176" s="7"/>
      <c r="AF176" s="46"/>
      <c r="AG176" s="47"/>
      <c r="AH176" s="46"/>
      <c r="AI176" s="46"/>
    </row>
    <row r="177" spans="1:35" x14ac:dyDescent="0.25">
      <c r="A177" s="48">
        <v>170</v>
      </c>
      <c r="B177" s="53" t="s">
        <v>1496</v>
      </c>
      <c r="C177" s="54" t="s">
        <v>94</v>
      </c>
      <c r="D177" s="55">
        <v>35872</v>
      </c>
      <c r="E177" s="54" t="s">
        <v>40</v>
      </c>
      <c r="F177" s="69" t="s">
        <v>48</v>
      </c>
      <c r="G177" s="54" t="s">
        <v>1497</v>
      </c>
      <c r="H177" s="54" t="s">
        <v>72</v>
      </c>
      <c r="I177" s="54" t="s">
        <v>114</v>
      </c>
      <c r="J177" s="68" t="s">
        <v>1498</v>
      </c>
      <c r="K177" s="68" t="s">
        <v>1499</v>
      </c>
      <c r="L177" s="68"/>
      <c r="M177" s="54" t="s">
        <v>99</v>
      </c>
      <c r="N177" s="68" t="s">
        <v>48</v>
      </c>
      <c r="O177" s="68"/>
      <c r="P177" s="66" t="s">
        <v>1500</v>
      </c>
      <c r="Q177" s="68" t="s">
        <v>1501</v>
      </c>
      <c r="R177" s="57" t="s">
        <v>1502</v>
      </c>
      <c r="S177" s="54" t="s">
        <v>1503</v>
      </c>
      <c r="T177" s="54" t="s">
        <v>65</v>
      </c>
      <c r="U177" s="69" t="s">
        <v>1504</v>
      </c>
      <c r="V177" s="72">
        <v>42705</v>
      </c>
      <c r="W177" s="66" t="s">
        <v>1505</v>
      </c>
      <c r="X177" s="54" t="s">
        <v>1506</v>
      </c>
      <c r="Y177" s="54" t="s">
        <v>85</v>
      </c>
      <c r="Z177" s="54" t="s">
        <v>156</v>
      </c>
      <c r="AA177" s="54" t="s">
        <v>125</v>
      </c>
      <c r="AB177" s="54" t="s">
        <v>546</v>
      </c>
      <c r="AC177" s="58">
        <v>43996</v>
      </c>
      <c r="AD177" s="7"/>
      <c r="AE177" s="7"/>
      <c r="AF177" s="46" t="str">
        <f>IF(R177="","",RIGHT(R177,LEN(R177)-FIND("@",R177)))</f>
        <v>gmail.com</v>
      </c>
      <c r="AG177" s="47">
        <f>LEN(R177)-LEN(SUBSTITUTE(R177," ",""))</f>
        <v>0</v>
      </c>
      <c r="AH177" s="46" t="str">
        <f>SUBSTITUTE(R177," ","")</f>
        <v>adesuartana18@gmail.com</v>
      </c>
      <c r="AI177" s="46">
        <f>LEN(AH177)-LEN(SUBSTITUTE(AH177," ",""))</f>
        <v>0</v>
      </c>
    </row>
    <row r="178" spans="1:35" x14ac:dyDescent="0.25">
      <c r="A178" s="36">
        <v>171</v>
      </c>
      <c r="B178" s="53" t="s">
        <v>1507</v>
      </c>
      <c r="C178" s="54" t="s">
        <v>1508</v>
      </c>
      <c r="D178" s="55">
        <v>34068</v>
      </c>
      <c r="E178" s="54" t="s">
        <v>95</v>
      </c>
      <c r="F178" s="53"/>
      <c r="G178" s="54" t="s">
        <v>1509</v>
      </c>
      <c r="H178" s="54"/>
      <c r="I178" s="54"/>
      <c r="J178" s="54" t="s">
        <v>1510</v>
      </c>
      <c r="K178" s="54"/>
      <c r="L178" s="54"/>
      <c r="M178" s="54" t="s">
        <v>99</v>
      </c>
      <c r="N178" s="54"/>
      <c r="O178" s="54"/>
      <c r="P178" s="54"/>
      <c r="Q178" s="54" t="s">
        <v>1511</v>
      </c>
      <c r="R178" s="57" t="s">
        <v>74</v>
      </c>
      <c r="S178" s="54" t="s">
        <v>1512</v>
      </c>
      <c r="T178" s="54"/>
      <c r="U178" s="54"/>
      <c r="V178" s="55">
        <v>42705</v>
      </c>
      <c r="W178" s="54"/>
      <c r="X178" s="54"/>
      <c r="Y178" s="54" t="s">
        <v>85</v>
      </c>
      <c r="Z178" s="54"/>
      <c r="AA178" s="54"/>
      <c r="AB178" s="54"/>
      <c r="AC178" s="58">
        <v>42857</v>
      </c>
      <c r="AD178" s="7"/>
      <c r="AE178" s="7"/>
      <c r="AF178" s="46" t="str">
        <f>IF(R178="","",RIGHT(R178,LEN(R178)-FIND("@",R178)))</f>
        <v/>
      </c>
      <c r="AG178" s="47">
        <f>LEN(R178)-LEN(SUBSTITUTE(R178," ",""))</f>
        <v>0</v>
      </c>
      <c r="AH178" s="46" t="str">
        <f>SUBSTITUTE(R178," ","")</f>
        <v/>
      </c>
      <c r="AI178" s="46">
        <f>LEN(AH178)-LEN(SUBSTITUTE(AH178," ",""))</f>
        <v>0</v>
      </c>
    </row>
    <row r="179" spans="1:35" x14ac:dyDescent="0.25">
      <c r="A179" s="36">
        <v>172</v>
      </c>
      <c r="B179" s="53" t="s">
        <v>1513</v>
      </c>
      <c r="C179" s="54" t="s">
        <v>370</v>
      </c>
      <c r="D179" s="55">
        <v>35178</v>
      </c>
      <c r="E179" s="54" t="s">
        <v>40</v>
      </c>
      <c r="F179" s="53"/>
      <c r="G179" s="54" t="s">
        <v>1514</v>
      </c>
      <c r="H179" s="54"/>
      <c r="I179" s="54"/>
      <c r="J179" s="54" t="s">
        <v>1515</v>
      </c>
      <c r="K179" s="54"/>
      <c r="L179" s="54"/>
      <c r="M179" s="54"/>
      <c r="N179" s="54"/>
      <c r="O179" s="54"/>
      <c r="P179" s="54"/>
      <c r="Q179" s="54" t="s">
        <v>1516</v>
      </c>
      <c r="R179" s="57" t="s">
        <v>74</v>
      </c>
      <c r="S179" s="54" t="s">
        <v>1517</v>
      </c>
      <c r="T179" s="54"/>
      <c r="U179" s="54" t="s">
        <v>1518</v>
      </c>
      <c r="V179" s="55">
        <v>42705</v>
      </c>
      <c r="W179" s="54"/>
      <c r="X179" s="54"/>
      <c r="Y179" s="54" t="s">
        <v>85</v>
      </c>
      <c r="Z179" s="54"/>
      <c r="AA179" s="54"/>
      <c r="AB179" s="54"/>
      <c r="AC179" s="58">
        <v>43525</v>
      </c>
      <c r="AD179" s="7"/>
      <c r="AE179" s="7"/>
      <c r="AF179" s="46"/>
      <c r="AG179" s="47"/>
      <c r="AH179" s="46"/>
      <c r="AI179" s="46"/>
    </row>
    <row r="180" spans="1:35" x14ac:dyDescent="0.25">
      <c r="A180" s="36">
        <v>173</v>
      </c>
      <c r="B180" s="37" t="s">
        <v>1519</v>
      </c>
      <c r="C180" s="38" t="s">
        <v>1520</v>
      </c>
      <c r="D180" s="39">
        <v>34571</v>
      </c>
      <c r="E180" s="38" t="s">
        <v>95</v>
      </c>
      <c r="F180" s="38" t="s">
        <v>41</v>
      </c>
      <c r="G180" s="38" t="s">
        <v>1521</v>
      </c>
      <c r="H180" s="38" t="s">
        <v>72</v>
      </c>
      <c r="I180" s="38" t="s">
        <v>44</v>
      </c>
      <c r="J180" s="41" t="s">
        <v>1522</v>
      </c>
      <c r="K180" s="41" t="s">
        <v>1523</v>
      </c>
      <c r="L180" s="43"/>
      <c r="M180" s="38" t="s">
        <v>99</v>
      </c>
      <c r="N180" s="43" t="s">
        <v>1524</v>
      </c>
      <c r="O180" s="43" t="s">
        <v>428</v>
      </c>
      <c r="P180" s="43" t="s">
        <v>1525</v>
      </c>
      <c r="Q180" s="41" t="s">
        <v>1526</v>
      </c>
      <c r="R180" s="50" t="s">
        <v>1527</v>
      </c>
      <c r="S180" s="38" t="s">
        <v>1528</v>
      </c>
      <c r="T180" s="38" t="s">
        <v>412</v>
      </c>
      <c r="U180" s="38" t="s">
        <v>1529</v>
      </c>
      <c r="V180" s="60">
        <v>42745</v>
      </c>
      <c r="W180" s="41" t="s">
        <v>1530</v>
      </c>
      <c r="X180" s="38" t="s">
        <v>1531</v>
      </c>
      <c r="Y180" s="38" t="s">
        <v>52</v>
      </c>
      <c r="Z180" s="38" t="s">
        <v>396</v>
      </c>
      <c r="AA180" s="38" t="s">
        <v>109</v>
      </c>
      <c r="AB180" s="38" t="s">
        <v>55</v>
      </c>
      <c r="AC180" s="45"/>
      <c r="AD180" s="7"/>
      <c r="AE180" s="7"/>
      <c r="AF180" s="46"/>
      <c r="AG180" s="47"/>
      <c r="AH180" s="46"/>
      <c r="AI180" s="46"/>
    </row>
    <row r="181" spans="1:35" x14ac:dyDescent="0.25">
      <c r="A181" s="36">
        <v>174</v>
      </c>
      <c r="B181" s="53" t="s">
        <v>1532</v>
      </c>
      <c r="C181" s="54" t="s">
        <v>1533</v>
      </c>
      <c r="D181" s="55">
        <v>35882</v>
      </c>
      <c r="E181" s="54"/>
      <c r="F181" s="53"/>
      <c r="G181" s="54" t="s">
        <v>1534</v>
      </c>
      <c r="H181" s="54"/>
      <c r="I181" s="54"/>
      <c r="J181" s="54" t="s">
        <v>1535</v>
      </c>
      <c r="K181" s="54"/>
      <c r="L181" s="54"/>
      <c r="M181" s="54"/>
      <c r="N181" s="54"/>
      <c r="O181" s="54"/>
      <c r="P181" s="54"/>
      <c r="Q181" s="54" t="s">
        <v>1536</v>
      </c>
      <c r="R181" s="57" t="s">
        <v>74</v>
      </c>
      <c r="S181" s="54" t="s">
        <v>1537</v>
      </c>
      <c r="T181" s="54"/>
      <c r="U181" s="54" t="s">
        <v>1538</v>
      </c>
      <c r="V181" s="55">
        <v>42745</v>
      </c>
      <c r="W181" s="54"/>
      <c r="X181" s="54"/>
      <c r="Y181" s="54" t="s">
        <v>85</v>
      </c>
      <c r="Z181" s="54"/>
      <c r="AA181" s="54"/>
      <c r="AB181" s="54"/>
      <c r="AC181" s="58">
        <v>43554</v>
      </c>
      <c r="AD181" s="7"/>
      <c r="AE181" s="7"/>
      <c r="AF181" s="46"/>
      <c r="AG181" s="47"/>
      <c r="AH181" s="46"/>
      <c r="AI181" s="46"/>
    </row>
    <row r="182" spans="1:35" x14ac:dyDescent="0.25">
      <c r="A182" s="36">
        <v>175</v>
      </c>
      <c r="B182" s="53" t="s">
        <v>1539</v>
      </c>
      <c r="C182" s="54" t="s">
        <v>1540</v>
      </c>
      <c r="D182" s="55">
        <v>35394</v>
      </c>
      <c r="E182" s="54" t="s">
        <v>95</v>
      </c>
      <c r="F182" s="53"/>
      <c r="G182" s="54" t="s">
        <v>1541</v>
      </c>
      <c r="H182" s="54"/>
      <c r="I182" s="54"/>
      <c r="J182" s="54" t="s">
        <v>1542</v>
      </c>
      <c r="K182" s="54"/>
      <c r="L182" s="54"/>
      <c r="M182" s="54" t="s">
        <v>99</v>
      </c>
      <c r="N182" s="54"/>
      <c r="O182" s="54"/>
      <c r="P182" s="54"/>
      <c r="Q182" s="54" t="s">
        <v>1543</v>
      </c>
      <c r="R182" s="57" t="s">
        <v>74</v>
      </c>
      <c r="S182" s="54" t="s">
        <v>1544</v>
      </c>
      <c r="T182" s="54"/>
      <c r="U182" s="54"/>
      <c r="V182" s="55">
        <v>42748</v>
      </c>
      <c r="W182" s="54"/>
      <c r="X182" s="54"/>
      <c r="Y182" s="54" t="s">
        <v>85</v>
      </c>
      <c r="Z182" s="54"/>
      <c r="AA182" s="54"/>
      <c r="AB182" s="54"/>
      <c r="AC182" s="58">
        <v>43013</v>
      </c>
      <c r="AD182" s="7"/>
      <c r="AE182" s="7"/>
      <c r="AF182" s="46"/>
      <c r="AG182" s="47"/>
      <c r="AH182" s="46"/>
      <c r="AI182" s="46"/>
    </row>
    <row r="183" spans="1:35" x14ac:dyDescent="0.25">
      <c r="A183" s="48">
        <v>176</v>
      </c>
      <c r="B183" s="53" t="s">
        <v>1545</v>
      </c>
      <c r="C183" s="54" t="s">
        <v>1065</v>
      </c>
      <c r="D183" s="55">
        <v>35830</v>
      </c>
      <c r="E183" s="54" t="s">
        <v>95</v>
      </c>
      <c r="F183" s="53"/>
      <c r="G183" s="54" t="s">
        <v>1546</v>
      </c>
      <c r="H183" s="54"/>
      <c r="I183" s="54"/>
      <c r="J183" s="54" t="s">
        <v>1547</v>
      </c>
      <c r="K183" s="54"/>
      <c r="L183" s="54"/>
      <c r="M183" s="54" t="s">
        <v>99</v>
      </c>
      <c r="N183" s="54"/>
      <c r="O183" s="54"/>
      <c r="P183" s="54"/>
      <c r="Q183" s="54" t="s">
        <v>1548</v>
      </c>
      <c r="R183" s="57" t="s">
        <v>74</v>
      </c>
      <c r="S183" s="54" t="s">
        <v>1549</v>
      </c>
      <c r="T183" s="54"/>
      <c r="U183" s="54" t="s">
        <v>1550</v>
      </c>
      <c r="V183" s="55">
        <v>42749</v>
      </c>
      <c r="W183" s="54"/>
      <c r="X183" s="54"/>
      <c r="Y183" s="54" t="s">
        <v>85</v>
      </c>
      <c r="Z183" s="54"/>
      <c r="AA183" s="54"/>
      <c r="AB183" s="54"/>
      <c r="AC183" s="58">
        <v>43647</v>
      </c>
      <c r="AD183" s="7"/>
      <c r="AE183" s="7"/>
      <c r="AF183" s="46"/>
      <c r="AG183" s="47"/>
      <c r="AH183" s="46"/>
      <c r="AI183" s="46"/>
    </row>
    <row r="184" spans="1:35" x14ac:dyDescent="0.25">
      <c r="A184" s="36">
        <v>177</v>
      </c>
      <c r="B184" s="53" t="s">
        <v>1551</v>
      </c>
      <c r="C184" s="54" t="s">
        <v>758</v>
      </c>
      <c r="D184" s="55">
        <v>33556</v>
      </c>
      <c r="E184" s="54" t="s">
        <v>95</v>
      </c>
      <c r="F184" s="53"/>
      <c r="G184" s="54" t="s">
        <v>1552</v>
      </c>
      <c r="H184" s="54"/>
      <c r="I184" s="54"/>
      <c r="J184" s="54" t="s">
        <v>1553</v>
      </c>
      <c r="K184" s="54"/>
      <c r="L184" s="54"/>
      <c r="M184" s="54" t="s">
        <v>99</v>
      </c>
      <c r="N184" s="54"/>
      <c r="O184" s="54"/>
      <c r="P184" s="54"/>
      <c r="Q184" s="54" t="s">
        <v>1554</v>
      </c>
      <c r="R184" s="57" t="s">
        <v>74</v>
      </c>
      <c r="S184" s="54"/>
      <c r="T184" s="54"/>
      <c r="U184" s="54"/>
      <c r="V184" s="55">
        <v>42751</v>
      </c>
      <c r="W184" s="54"/>
      <c r="X184" s="54"/>
      <c r="Y184" s="54" t="s">
        <v>85</v>
      </c>
      <c r="Z184" s="54"/>
      <c r="AA184" s="54"/>
      <c r="AB184" s="54"/>
      <c r="AC184" s="58">
        <v>42795</v>
      </c>
      <c r="AD184" s="7"/>
      <c r="AE184" s="7"/>
      <c r="AF184" s="46"/>
      <c r="AG184" s="47"/>
      <c r="AH184" s="46"/>
      <c r="AI184" s="46"/>
    </row>
    <row r="185" spans="1:35" x14ac:dyDescent="0.25">
      <c r="A185" s="36">
        <v>178</v>
      </c>
      <c r="B185" s="53" t="s">
        <v>1555</v>
      </c>
      <c r="C185" s="54" t="s">
        <v>1556</v>
      </c>
      <c r="D185" s="55">
        <v>33416</v>
      </c>
      <c r="E185" s="54" t="s">
        <v>40</v>
      </c>
      <c r="F185" s="53"/>
      <c r="G185" s="54" t="s">
        <v>1557</v>
      </c>
      <c r="H185" s="54"/>
      <c r="I185" s="54"/>
      <c r="J185" s="54" t="s">
        <v>1558</v>
      </c>
      <c r="K185" s="54"/>
      <c r="L185" s="54"/>
      <c r="M185" s="54"/>
      <c r="N185" s="54"/>
      <c r="O185" s="54"/>
      <c r="P185" s="54"/>
      <c r="Q185" s="54" t="s">
        <v>1559</v>
      </c>
      <c r="R185" s="57" t="s">
        <v>74</v>
      </c>
      <c r="S185" s="54" t="s">
        <v>1560</v>
      </c>
      <c r="T185" s="54"/>
      <c r="U185" s="54"/>
      <c r="V185" s="55">
        <v>42758</v>
      </c>
      <c r="W185" s="54"/>
      <c r="X185" s="54"/>
      <c r="Y185" s="54" t="s">
        <v>85</v>
      </c>
      <c r="Z185" s="54"/>
      <c r="AA185" s="54"/>
      <c r="AB185" s="54"/>
      <c r="AC185" s="58">
        <v>42856</v>
      </c>
      <c r="AD185" s="7"/>
      <c r="AE185" s="7"/>
      <c r="AF185" s="46" t="str">
        <f>IF(R185="","",RIGHT(R185,LEN(R185)-FIND("@",R185)))</f>
        <v/>
      </c>
      <c r="AG185" s="47">
        <f>LEN(R185)-LEN(SUBSTITUTE(R185," ",""))</f>
        <v>0</v>
      </c>
      <c r="AH185" s="46" t="str">
        <f>SUBSTITUTE(R185," ","")</f>
        <v/>
      </c>
      <c r="AI185" s="46">
        <f>LEN(AH185)-LEN(SUBSTITUTE(AH185," ",""))</f>
        <v>0</v>
      </c>
    </row>
    <row r="186" spans="1:35" x14ac:dyDescent="0.25">
      <c r="A186" s="36">
        <v>179</v>
      </c>
      <c r="B186" s="37" t="s">
        <v>1561</v>
      </c>
      <c r="C186" s="38" t="s">
        <v>94</v>
      </c>
      <c r="D186" s="39">
        <v>35394</v>
      </c>
      <c r="E186" s="38" t="s">
        <v>40</v>
      </c>
      <c r="F186" s="40" t="s">
        <v>48</v>
      </c>
      <c r="G186" s="38" t="s">
        <v>1562</v>
      </c>
      <c r="H186" s="38" t="s">
        <v>72</v>
      </c>
      <c r="I186" s="38" t="s">
        <v>44</v>
      </c>
      <c r="J186" s="41" t="s">
        <v>1563</v>
      </c>
      <c r="K186" s="41"/>
      <c r="L186" s="41"/>
      <c r="M186" s="38"/>
      <c r="N186" s="43" t="s">
        <v>1564</v>
      </c>
      <c r="O186" s="43" t="s">
        <v>147</v>
      </c>
      <c r="P186" s="41" t="s">
        <v>1565</v>
      </c>
      <c r="Q186" s="41"/>
      <c r="R186" s="50" t="s">
        <v>1566</v>
      </c>
      <c r="S186" s="38" t="s">
        <v>1567</v>
      </c>
      <c r="T186" s="38"/>
      <c r="U186" s="38"/>
      <c r="V186" s="60">
        <v>42767</v>
      </c>
      <c r="W186" s="41" t="s">
        <v>1568</v>
      </c>
      <c r="X186" s="38" t="s">
        <v>1569</v>
      </c>
      <c r="Y186" s="38" t="s">
        <v>52</v>
      </c>
      <c r="Z186" s="38" t="s">
        <v>735</v>
      </c>
      <c r="AA186" s="38" t="s">
        <v>125</v>
      </c>
      <c r="AB186" s="38" t="s">
        <v>1570</v>
      </c>
      <c r="AC186" s="45"/>
      <c r="AD186" s="7"/>
      <c r="AE186" s="7"/>
      <c r="AF186" s="46" t="str">
        <f>IF(R186="","",RIGHT(R186,LEN(R186)-FIND("@",R186)))</f>
        <v>gmail.com</v>
      </c>
      <c r="AG186" s="47">
        <f>LEN(R186)-LEN(SUBSTITUTE(R186," ",""))</f>
        <v>0</v>
      </c>
      <c r="AH186" s="46" t="str">
        <f>SUBSTITUTE(R186," ","")</f>
        <v>putusuartana07@gmail.com</v>
      </c>
      <c r="AI186" s="46">
        <f>LEN(AH186)-LEN(SUBSTITUTE(AH186," ",""))</f>
        <v>0</v>
      </c>
    </row>
    <row r="187" spans="1:35" x14ac:dyDescent="0.25">
      <c r="A187" s="36">
        <v>180</v>
      </c>
      <c r="B187" s="53" t="s">
        <v>1571</v>
      </c>
      <c r="C187" s="54" t="s">
        <v>328</v>
      </c>
      <c r="D187" s="55">
        <v>33666</v>
      </c>
      <c r="E187" s="54" t="s">
        <v>40</v>
      </c>
      <c r="F187" s="53"/>
      <c r="G187" s="54" t="s">
        <v>1572</v>
      </c>
      <c r="H187" s="54"/>
      <c r="I187" s="54"/>
      <c r="J187" s="54" t="s">
        <v>1573</v>
      </c>
      <c r="K187" s="54"/>
      <c r="L187" s="54"/>
      <c r="M187" s="54"/>
      <c r="N187" s="54"/>
      <c r="O187" s="54"/>
      <c r="P187" s="54"/>
      <c r="Q187" s="54" t="s">
        <v>1574</v>
      </c>
      <c r="R187" s="57" t="s">
        <v>74</v>
      </c>
      <c r="S187" s="54" t="s">
        <v>1575</v>
      </c>
      <c r="T187" s="54"/>
      <c r="U187" s="54"/>
      <c r="V187" s="55">
        <v>42767</v>
      </c>
      <c r="W187" s="54"/>
      <c r="X187" s="54"/>
      <c r="Y187" s="54" t="s">
        <v>85</v>
      </c>
      <c r="Z187" s="54"/>
      <c r="AA187" s="54"/>
      <c r="AB187" s="54"/>
      <c r="AC187" s="58">
        <v>42887</v>
      </c>
      <c r="AD187" s="7"/>
      <c r="AE187" s="7"/>
      <c r="AF187" s="46"/>
      <c r="AG187" s="47"/>
      <c r="AH187" s="46"/>
      <c r="AI187" s="46"/>
    </row>
    <row r="188" spans="1:35" x14ac:dyDescent="0.25">
      <c r="A188" s="36">
        <v>181</v>
      </c>
      <c r="B188" s="53" t="s">
        <v>1576</v>
      </c>
      <c r="C188" s="54" t="s">
        <v>1065</v>
      </c>
      <c r="D188" s="55">
        <v>35363</v>
      </c>
      <c r="E188" s="54" t="s">
        <v>95</v>
      </c>
      <c r="F188" s="53"/>
      <c r="G188" s="54" t="s">
        <v>1577</v>
      </c>
      <c r="H188" s="54"/>
      <c r="I188" s="54"/>
      <c r="J188" s="54" t="s">
        <v>1578</v>
      </c>
      <c r="K188" s="54"/>
      <c r="L188" s="54"/>
      <c r="M188" s="54" t="s">
        <v>99</v>
      </c>
      <c r="N188" s="54"/>
      <c r="O188" s="54"/>
      <c r="P188" s="54"/>
      <c r="Q188" s="54" t="s">
        <v>1579</v>
      </c>
      <c r="R188" s="57" t="s">
        <v>74</v>
      </c>
      <c r="S188" s="54" t="s">
        <v>1577</v>
      </c>
      <c r="T188" s="54"/>
      <c r="U188" s="54"/>
      <c r="V188" s="55">
        <v>42767</v>
      </c>
      <c r="W188" s="54"/>
      <c r="X188" s="54"/>
      <c r="Y188" s="54" t="s">
        <v>85</v>
      </c>
      <c r="Z188" s="54"/>
      <c r="AA188" s="54"/>
      <c r="AB188" s="54"/>
      <c r="AC188" s="58">
        <v>42951</v>
      </c>
      <c r="AD188" s="7"/>
      <c r="AE188" s="7"/>
      <c r="AF188" s="46"/>
      <c r="AG188" s="47"/>
      <c r="AH188" s="46"/>
      <c r="AI188" s="46"/>
    </row>
    <row r="189" spans="1:35" x14ac:dyDescent="0.25">
      <c r="A189" s="48">
        <v>182</v>
      </c>
      <c r="B189" s="53" t="s">
        <v>1580</v>
      </c>
      <c r="C189" s="54" t="s">
        <v>1581</v>
      </c>
      <c r="D189" s="55">
        <v>34555</v>
      </c>
      <c r="E189" s="54" t="s">
        <v>40</v>
      </c>
      <c r="F189" s="53"/>
      <c r="G189" s="54" t="s">
        <v>1582</v>
      </c>
      <c r="H189" s="54"/>
      <c r="I189" s="54"/>
      <c r="J189" s="54" t="s">
        <v>1583</v>
      </c>
      <c r="K189" s="54"/>
      <c r="L189" s="54"/>
      <c r="M189" s="54"/>
      <c r="N189" s="54"/>
      <c r="O189" s="54"/>
      <c r="P189" s="54"/>
      <c r="Q189" s="54" t="s">
        <v>1584</v>
      </c>
      <c r="R189" s="57" t="s">
        <v>74</v>
      </c>
      <c r="S189" s="54" t="s">
        <v>1585</v>
      </c>
      <c r="T189" s="54"/>
      <c r="U189" s="54" t="s">
        <v>1586</v>
      </c>
      <c r="V189" s="55">
        <v>42769</v>
      </c>
      <c r="W189" s="54"/>
      <c r="X189" s="54"/>
      <c r="Y189" s="54" t="s">
        <v>85</v>
      </c>
      <c r="Z189" s="54"/>
      <c r="AA189" s="54"/>
      <c r="AB189" s="54"/>
      <c r="AC189" s="58">
        <v>43708</v>
      </c>
      <c r="AD189" s="7"/>
      <c r="AE189" s="7"/>
      <c r="AF189" s="46"/>
      <c r="AG189" s="47"/>
      <c r="AH189" s="46"/>
      <c r="AI189" s="46"/>
    </row>
    <row r="190" spans="1:35" x14ac:dyDescent="0.25">
      <c r="A190" s="36">
        <v>183</v>
      </c>
      <c r="B190" s="53" t="s">
        <v>1587</v>
      </c>
      <c r="C190" s="54" t="s">
        <v>1588</v>
      </c>
      <c r="D190" s="55">
        <v>30316</v>
      </c>
      <c r="E190" s="54" t="s">
        <v>40</v>
      </c>
      <c r="F190" s="54" t="s">
        <v>48</v>
      </c>
      <c r="G190" s="54" t="s">
        <v>1589</v>
      </c>
      <c r="H190" s="54" t="s">
        <v>113</v>
      </c>
      <c r="I190" s="54" t="s">
        <v>44</v>
      </c>
      <c r="J190" s="66" t="s">
        <v>1590</v>
      </c>
      <c r="K190" s="66" t="s">
        <v>1591</v>
      </c>
      <c r="L190" s="66"/>
      <c r="M190" s="54" t="s">
        <v>47</v>
      </c>
      <c r="N190" s="66"/>
      <c r="O190" s="66"/>
      <c r="P190" s="68"/>
      <c r="Q190" s="66" t="s">
        <v>1592</v>
      </c>
      <c r="R190" s="76" t="s">
        <v>1593</v>
      </c>
      <c r="S190" s="54" t="s">
        <v>1594</v>
      </c>
      <c r="T190" s="54" t="s">
        <v>1595</v>
      </c>
      <c r="U190" s="54" t="s">
        <v>1596</v>
      </c>
      <c r="V190" s="72">
        <v>42774</v>
      </c>
      <c r="W190" s="66" t="s">
        <v>1597</v>
      </c>
      <c r="X190" s="54" t="s">
        <v>1598</v>
      </c>
      <c r="Y190" s="54" t="s">
        <v>85</v>
      </c>
      <c r="Z190" s="54" t="s">
        <v>156</v>
      </c>
      <c r="AA190" s="54" t="s">
        <v>125</v>
      </c>
      <c r="AB190" s="54" t="s">
        <v>1599</v>
      </c>
      <c r="AC190" s="58">
        <v>43983</v>
      </c>
      <c r="AD190" s="77"/>
      <c r="AE190" s="7"/>
      <c r="AF190" s="46" t="str">
        <f>IF(R190="","",RIGHT(R190,LEN(R190)-FIND("@",R190)))</f>
        <v>gmail.com</v>
      </c>
      <c r="AG190" s="47">
        <f>LEN(R190)-LEN(SUBSTITUTE(R190," ",""))</f>
        <v>0</v>
      </c>
      <c r="AH190" s="46" t="str">
        <f>SUBSTITUTE(R190," ","")</f>
        <v>alfanddowank@gmail.com</v>
      </c>
      <c r="AI190" s="46">
        <f>LEN(AH190)-LEN(SUBSTITUTE(AH190," ",""))</f>
        <v>0</v>
      </c>
    </row>
    <row r="191" spans="1:35" x14ac:dyDescent="0.25">
      <c r="A191" s="36">
        <v>184</v>
      </c>
      <c r="B191" s="53" t="s">
        <v>1600</v>
      </c>
      <c r="C191" s="54" t="s">
        <v>1266</v>
      </c>
      <c r="D191" s="55">
        <v>35069</v>
      </c>
      <c r="E191" s="54" t="s">
        <v>95</v>
      </c>
      <c r="F191" s="53"/>
      <c r="G191" s="54" t="s">
        <v>1601</v>
      </c>
      <c r="H191" s="54"/>
      <c r="I191" s="54"/>
      <c r="J191" s="54" t="s">
        <v>1602</v>
      </c>
      <c r="K191" s="54"/>
      <c r="L191" s="56"/>
      <c r="M191" s="54" t="s">
        <v>99</v>
      </c>
      <c r="N191" s="54"/>
      <c r="O191" s="54"/>
      <c r="P191" s="54"/>
      <c r="Q191" s="54" t="s">
        <v>1603</v>
      </c>
      <c r="R191" s="57" t="s">
        <v>74</v>
      </c>
      <c r="S191" s="54" t="s">
        <v>1604</v>
      </c>
      <c r="T191" s="54"/>
      <c r="U191" s="54"/>
      <c r="V191" s="55">
        <v>42774</v>
      </c>
      <c r="W191" s="54"/>
      <c r="X191" s="54"/>
      <c r="Y191" s="54" t="s">
        <v>85</v>
      </c>
      <c r="Z191" s="54"/>
      <c r="AA191" s="54"/>
      <c r="AB191" s="54"/>
      <c r="AC191" s="58">
        <v>42917</v>
      </c>
      <c r="AD191" s="7"/>
      <c r="AE191" s="7"/>
      <c r="AF191" s="46"/>
      <c r="AG191" s="47"/>
      <c r="AH191" s="46"/>
      <c r="AI191" s="46"/>
    </row>
    <row r="192" spans="1:35" x14ac:dyDescent="0.25">
      <c r="A192" s="36">
        <v>185</v>
      </c>
      <c r="B192" s="53" t="s">
        <v>1605</v>
      </c>
      <c r="C192" s="54" t="s">
        <v>1606</v>
      </c>
      <c r="D192" s="55">
        <v>34831</v>
      </c>
      <c r="E192" s="54" t="s">
        <v>40</v>
      </c>
      <c r="F192" s="53"/>
      <c r="G192" s="54" t="s">
        <v>1607</v>
      </c>
      <c r="H192" s="54"/>
      <c r="I192" s="54"/>
      <c r="J192" s="54" t="s">
        <v>1608</v>
      </c>
      <c r="K192" s="54"/>
      <c r="L192" s="54"/>
      <c r="M192" s="54"/>
      <c r="N192" s="54"/>
      <c r="O192" s="54"/>
      <c r="P192" s="54"/>
      <c r="Q192" s="54" t="s">
        <v>1609</v>
      </c>
      <c r="R192" s="57" t="s">
        <v>74</v>
      </c>
      <c r="S192" s="54" t="s">
        <v>1610</v>
      </c>
      <c r="T192" s="54"/>
      <c r="U192" s="54"/>
      <c r="V192" s="55">
        <v>42774</v>
      </c>
      <c r="W192" s="54"/>
      <c r="X192" s="54"/>
      <c r="Y192" s="54" t="s">
        <v>85</v>
      </c>
      <c r="Z192" s="54"/>
      <c r="AA192" s="54"/>
      <c r="AB192" s="54"/>
      <c r="AC192" s="58">
        <v>43070</v>
      </c>
      <c r="AD192" s="7"/>
      <c r="AE192" s="7"/>
      <c r="AF192" s="46" t="str">
        <f>IF(R192="","",RIGHT(R192,LEN(R192)-FIND("@",R192)))</f>
        <v/>
      </c>
      <c r="AG192" s="47">
        <f>LEN(R192)-LEN(SUBSTITUTE(R192," ",""))</f>
        <v>0</v>
      </c>
      <c r="AH192" s="46" t="str">
        <f>SUBSTITUTE(R192," ","")</f>
        <v/>
      </c>
      <c r="AI192" s="46">
        <f>LEN(AH192)-LEN(SUBSTITUTE(AH192," ",""))</f>
        <v>0</v>
      </c>
    </row>
    <row r="193" spans="1:35" x14ac:dyDescent="0.25">
      <c r="A193" s="36">
        <v>186</v>
      </c>
      <c r="B193" s="53" t="s">
        <v>1611</v>
      </c>
      <c r="C193" s="54" t="s">
        <v>912</v>
      </c>
      <c r="D193" s="55">
        <v>35066</v>
      </c>
      <c r="E193" s="54" t="s">
        <v>95</v>
      </c>
      <c r="F193" s="53"/>
      <c r="G193" s="54" t="s">
        <v>1612</v>
      </c>
      <c r="H193" s="54"/>
      <c r="I193" s="54"/>
      <c r="J193" s="54" t="s">
        <v>1613</v>
      </c>
      <c r="K193" s="54"/>
      <c r="L193" s="54"/>
      <c r="M193" s="54" t="s">
        <v>99</v>
      </c>
      <c r="N193" s="54"/>
      <c r="O193" s="54"/>
      <c r="P193" s="54"/>
      <c r="Q193" s="54" t="s">
        <v>1614</v>
      </c>
      <c r="R193" s="57" t="s">
        <v>74</v>
      </c>
      <c r="S193" s="54" t="s">
        <v>1615</v>
      </c>
      <c r="T193" s="54"/>
      <c r="U193" s="54"/>
      <c r="V193" s="55">
        <v>42779</v>
      </c>
      <c r="W193" s="54"/>
      <c r="X193" s="54"/>
      <c r="Y193" s="54" t="s">
        <v>85</v>
      </c>
      <c r="Z193" s="54"/>
      <c r="AA193" s="54"/>
      <c r="AB193" s="54"/>
      <c r="AC193" s="58">
        <v>42866</v>
      </c>
      <c r="AD193" s="7"/>
      <c r="AE193" s="7"/>
      <c r="AF193" s="46"/>
      <c r="AG193" s="47"/>
      <c r="AH193" s="46"/>
      <c r="AI193" s="46"/>
    </row>
    <row r="194" spans="1:35" x14ac:dyDescent="0.25">
      <c r="A194" s="36">
        <v>187</v>
      </c>
      <c r="B194" s="53" t="s">
        <v>1616</v>
      </c>
      <c r="C194" s="54" t="s">
        <v>1266</v>
      </c>
      <c r="D194" s="55">
        <v>35613</v>
      </c>
      <c r="E194" s="54" t="s">
        <v>40</v>
      </c>
      <c r="F194" s="53"/>
      <c r="G194" s="54" t="s">
        <v>1617</v>
      </c>
      <c r="H194" s="54"/>
      <c r="I194" s="54"/>
      <c r="J194" s="54" t="s">
        <v>1618</v>
      </c>
      <c r="K194" s="54"/>
      <c r="L194" s="54"/>
      <c r="M194" s="54"/>
      <c r="N194" s="54"/>
      <c r="O194" s="54"/>
      <c r="P194" s="54"/>
      <c r="Q194" s="54" t="s">
        <v>1619</v>
      </c>
      <c r="R194" s="57" t="s">
        <v>74</v>
      </c>
      <c r="S194" s="54" t="s">
        <v>1617</v>
      </c>
      <c r="T194" s="54"/>
      <c r="U194" s="54" t="s">
        <v>1620</v>
      </c>
      <c r="V194" s="55">
        <v>42780</v>
      </c>
      <c r="W194" s="54"/>
      <c r="X194" s="54"/>
      <c r="Y194" s="54" t="s">
        <v>85</v>
      </c>
      <c r="Z194" s="54"/>
      <c r="AA194" s="54"/>
      <c r="AB194" s="54"/>
      <c r="AC194" s="58">
        <v>43456</v>
      </c>
      <c r="AD194" s="7"/>
      <c r="AE194" s="7"/>
      <c r="AF194" s="46" t="str">
        <f>IF(R194="","",RIGHT(R194,LEN(R194)-FIND("@",R194)))</f>
        <v/>
      </c>
      <c r="AG194" s="47">
        <f>LEN(R194)-LEN(SUBSTITUTE(R194," ",""))</f>
        <v>0</v>
      </c>
      <c r="AH194" s="46" t="str">
        <f>SUBSTITUTE(R194," ","")</f>
        <v/>
      </c>
      <c r="AI194" s="46">
        <f>LEN(AH194)-LEN(SUBSTITUTE(AH194," ",""))</f>
        <v>0</v>
      </c>
    </row>
    <row r="195" spans="1:35" x14ac:dyDescent="0.25">
      <c r="A195" s="48">
        <v>188</v>
      </c>
      <c r="B195" s="53" t="s">
        <v>1621</v>
      </c>
      <c r="C195" s="54" t="s">
        <v>1622</v>
      </c>
      <c r="D195" s="55">
        <v>35737</v>
      </c>
      <c r="E195" s="54" t="s">
        <v>40</v>
      </c>
      <c r="F195" s="53"/>
      <c r="G195" s="54" t="s">
        <v>1623</v>
      </c>
      <c r="H195" s="54"/>
      <c r="I195" s="54"/>
      <c r="J195" s="54" t="s">
        <v>74</v>
      </c>
      <c r="K195" s="54"/>
      <c r="L195" s="54"/>
      <c r="M195" s="54"/>
      <c r="N195" s="54"/>
      <c r="O195" s="54"/>
      <c r="P195" s="54"/>
      <c r="Q195" s="54" t="s">
        <v>1624</v>
      </c>
      <c r="R195" s="57" t="s">
        <v>74</v>
      </c>
      <c r="S195" s="54" t="s">
        <v>1625</v>
      </c>
      <c r="T195" s="54"/>
      <c r="U195" s="54"/>
      <c r="V195" s="55">
        <v>42784</v>
      </c>
      <c r="W195" s="54"/>
      <c r="X195" s="54"/>
      <c r="Y195" s="54" t="s">
        <v>85</v>
      </c>
      <c r="Z195" s="54"/>
      <c r="AA195" s="54"/>
      <c r="AB195" s="54"/>
      <c r="AC195" s="58">
        <v>42917</v>
      </c>
      <c r="AD195" s="7"/>
      <c r="AE195" s="7"/>
      <c r="AF195" s="46" t="str">
        <f>IF(R195="","",RIGHT(R195,LEN(R195)-FIND("@",R195)))</f>
        <v/>
      </c>
      <c r="AG195" s="47">
        <f>LEN(R195)-LEN(SUBSTITUTE(R195," ",""))</f>
        <v>0</v>
      </c>
      <c r="AH195" s="46" t="str">
        <f>SUBSTITUTE(R195," ","")</f>
        <v/>
      </c>
      <c r="AI195" s="46">
        <f>LEN(AH195)-LEN(SUBSTITUTE(AH195," ",""))</f>
        <v>0</v>
      </c>
    </row>
    <row r="196" spans="1:35" x14ac:dyDescent="0.25">
      <c r="A196" s="36">
        <v>189</v>
      </c>
      <c r="B196" s="37" t="s">
        <v>1626</v>
      </c>
      <c r="C196" s="38" t="s">
        <v>39</v>
      </c>
      <c r="D196" s="39">
        <v>27988</v>
      </c>
      <c r="E196" s="38" t="s">
        <v>40</v>
      </c>
      <c r="F196" s="38" t="s">
        <v>129</v>
      </c>
      <c r="G196" s="38" t="s">
        <v>1627</v>
      </c>
      <c r="H196" s="38" t="s">
        <v>510</v>
      </c>
      <c r="I196" s="38" t="s">
        <v>44</v>
      </c>
      <c r="J196" s="41" t="s">
        <v>1628</v>
      </c>
      <c r="K196" s="41" t="s">
        <v>1629</v>
      </c>
      <c r="L196" s="41" t="s">
        <v>1630</v>
      </c>
      <c r="M196" s="38" t="s">
        <v>133</v>
      </c>
      <c r="N196" s="41" t="s">
        <v>1631</v>
      </c>
      <c r="O196" s="41" t="s">
        <v>76</v>
      </c>
      <c r="P196" s="41" t="s">
        <v>1632</v>
      </c>
      <c r="Q196" s="41" t="s">
        <v>1633</v>
      </c>
      <c r="R196" s="50" t="s">
        <v>1634</v>
      </c>
      <c r="S196" s="38" t="s">
        <v>1635</v>
      </c>
      <c r="T196" s="38" t="s">
        <v>1636</v>
      </c>
      <c r="U196" s="38" t="s">
        <v>1637</v>
      </c>
      <c r="V196" s="60">
        <v>42789</v>
      </c>
      <c r="W196" s="41" t="s">
        <v>1638</v>
      </c>
      <c r="X196" s="38" t="s">
        <v>1639</v>
      </c>
      <c r="Y196" s="38" t="s">
        <v>52</v>
      </c>
      <c r="Z196" s="38" t="s">
        <v>108</v>
      </c>
      <c r="AA196" s="38" t="s">
        <v>1640</v>
      </c>
      <c r="AB196" s="38" t="s">
        <v>55</v>
      </c>
      <c r="AC196" s="45"/>
      <c r="AD196" s="7"/>
      <c r="AE196" s="7"/>
      <c r="AF196" s="46" t="str">
        <f>IF(R196="","",RIGHT(R196,LEN(R196)-FIND("@",R196)))</f>
        <v>gmail.com</v>
      </c>
      <c r="AG196" s="47">
        <f>LEN(R196)-LEN(SUBSTITUTE(R196," ",""))</f>
        <v>0</v>
      </c>
      <c r="AH196" s="46" t="str">
        <f>SUBSTITUTE(R196," ","")</f>
        <v>agungseno69@gmail.com</v>
      </c>
      <c r="AI196" s="46">
        <f>LEN(AH196)-LEN(SUBSTITUTE(AH196," ",""))</f>
        <v>0</v>
      </c>
    </row>
    <row r="197" spans="1:35" x14ac:dyDescent="0.25">
      <c r="A197" s="36">
        <v>190</v>
      </c>
      <c r="B197" s="53" t="s">
        <v>1641</v>
      </c>
      <c r="C197" s="54" t="s">
        <v>1642</v>
      </c>
      <c r="D197" s="55">
        <v>33722</v>
      </c>
      <c r="E197" s="54" t="s">
        <v>40</v>
      </c>
      <c r="F197" s="53"/>
      <c r="G197" s="54" t="s">
        <v>1643</v>
      </c>
      <c r="H197" s="54"/>
      <c r="I197" s="54"/>
      <c r="J197" s="54" t="s">
        <v>1644</v>
      </c>
      <c r="K197" s="54"/>
      <c r="L197" s="54"/>
      <c r="M197" s="54"/>
      <c r="N197" s="54"/>
      <c r="O197" s="54"/>
      <c r="P197" s="54"/>
      <c r="Q197" s="54" t="s">
        <v>1645</v>
      </c>
      <c r="R197" s="57" t="s">
        <v>74</v>
      </c>
      <c r="S197" s="54" t="s">
        <v>1643</v>
      </c>
      <c r="T197" s="54"/>
      <c r="U197" s="54"/>
      <c r="V197" s="55">
        <v>42798</v>
      </c>
      <c r="W197" s="54"/>
      <c r="X197" s="54"/>
      <c r="Y197" s="54" t="s">
        <v>85</v>
      </c>
      <c r="Z197" s="54"/>
      <c r="AA197" s="54"/>
      <c r="AB197" s="54"/>
      <c r="AC197" s="58">
        <v>42856</v>
      </c>
      <c r="AD197" s="7"/>
      <c r="AE197" s="7"/>
      <c r="AF197" s="46"/>
      <c r="AG197" s="47"/>
      <c r="AH197" s="46"/>
      <c r="AI197" s="46"/>
    </row>
    <row r="198" spans="1:35" x14ac:dyDescent="0.25">
      <c r="A198" s="36">
        <v>191</v>
      </c>
      <c r="B198" s="37" t="s">
        <v>1646</v>
      </c>
      <c r="C198" s="38" t="s">
        <v>1647</v>
      </c>
      <c r="D198" s="39">
        <v>35761</v>
      </c>
      <c r="E198" s="38" t="s">
        <v>95</v>
      </c>
      <c r="F198" s="38" t="s">
        <v>129</v>
      </c>
      <c r="G198" s="38" t="s">
        <v>1648</v>
      </c>
      <c r="H198" s="38" t="s">
        <v>113</v>
      </c>
      <c r="I198" s="38" t="s">
        <v>114</v>
      </c>
      <c r="J198" s="43" t="s">
        <v>1649</v>
      </c>
      <c r="K198" s="43" t="s">
        <v>74</v>
      </c>
      <c r="L198" s="43"/>
      <c r="M198" s="38" t="s">
        <v>99</v>
      </c>
      <c r="N198" s="43" t="s">
        <v>1650</v>
      </c>
      <c r="O198" s="43" t="s">
        <v>76</v>
      </c>
      <c r="P198" s="41" t="s">
        <v>1651</v>
      </c>
      <c r="Q198" s="43" t="s">
        <v>1652</v>
      </c>
      <c r="R198" s="50" t="s">
        <v>1653</v>
      </c>
      <c r="S198" s="38" t="s">
        <v>1654</v>
      </c>
      <c r="T198" s="38" t="s">
        <v>1655</v>
      </c>
      <c r="U198" s="40" t="s">
        <v>1656</v>
      </c>
      <c r="V198" s="60">
        <v>42811</v>
      </c>
      <c r="W198" s="41" t="s">
        <v>1657</v>
      </c>
      <c r="X198" s="38" t="s">
        <v>1658</v>
      </c>
      <c r="Y198" s="38" t="s">
        <v>52</v>
      </c>
      <c r="Z198" s="38" t="s">
        <v>416</v>
      </c>
      <c r="AA198" s="38" t="s">
        <v>213</v>
      </c>
      <c r="AB198" s="38" t="s">
        <v>214</v>
      </c>
      <c r="AC198" s="45"/>
      <c r="AD198" s="7"/>
      <c r="AE198" s="7"/>
      <c r="AF198" s="46" t="str">
        <f>IF(R198="","",RIGHT(R198,LEN(R198)-FIND("@",R198)))</f>
        <v>gmail.com</v>
      </c>
      <c r="AG198" s="47">
        <f>LEN(R198)-LEN(SUBSTITUTE(R198," ",""))</f>
        <v>0</v>
      </c>
      <c r="AH198" s="46" t="str">
        <f>SUBSTITUTE(R198," ","")</f>
        <v>vivinoviyaa@gmail.com</v>
      </c>
      <c r="AI198" s="46">
        <f>LEN(AH198)-LEN(SUBSTITUTE(AH198," ",""))</f>
        <v>0</v>
      </c>
    </row>
    <row r="199" spans="1:35" x14ac:dyDescent="0.25">
      <c r="A199" s="36">
        <v>192</v>
      </c>
      <c r="B199" s="53" t="s">
        <v>1659</v>
      </c>
      <c r="C199" s="54" t="s">
        <v>1660</v>
      </c>
      <c r="D199" s="55">
        <v>31911</v>
      </c>
      <c r="E199" s="54" t="s">
        <v>40</v>
      </c>
      <c r="F199" s="53"/>
      <c r="G199" s="54" t="s">
        <v>1661</v>
      </c>
      <c r="H199" s="54"/>
      <c r="I199" s="54"/>
      <c r="J199" s="54" t="s">
        <v>1662</v>
      </c>
      <c r="K199" s="54"/>
      <c r="L199" s="54"/>
      <c r="M199" s="54"/>
      <c r="N199" s="54"/>
      <c r="O199" s="54"/>
      <c r="P199" s="54"/>
      <c r="Q199" s="54" t="s">
        <v>1663</v>
      </c>
      <c r="R199" s="57" t="s">
        <v>74</v>
      </c>
      <c r="S199" s="54" t="s">
        <v>1664</v>
      </c>
      <c r="T199" s="54"/>
      <c r="U199" s="54"/>
      <c r="V199" s="55">
        <v>42826</v>
      </c>
      <c r="W199" s="54"/>
      <c r="X199" s="54"/>
      <c r="Y199" s="54" t="s">
        <v>85</v>
      </c>
      <c r="Z199" s="54"/>
      <c r="AA199" s="54"/>
      <c r="AB199" s="54"/>
      <c r="AC199" s="58">
        <v>42917</v>
      </c>
      <c r="AD199" s="7"/>
      <c r="AE199" s="7"/>
      <c r="AF199" s="46"/>
      <c r="AG199" s="47"/>
      <c r="AH199" s="46"/>
      <c r="AI199" s="46"/>
    </row>
    <row r="200" spans="1:35" x14ac:dyDescent="0.25">
      <c r="A200" s="36">
        <v>193</v>
      </c>
      <c r="B200" s="53" t="s">
        <v>1665</v>
      </c>
      <c r="C200" s="54" t="s">
        <v>1666</v>
      </c>
      <c r="D200" s="55">
        <v>32873</v>
      </c>
      <c r="E200" s="54" t="s">
        <v>40</v>
      </c>
      <c r="F200" s="53"/>
      <c r="G200" s="54" t="s">
        <v>1667</v>
      </c>
      <c r="H200" s="54"/>
      <c r="I200" s="54"/>
      <c r="J200" s="54" t="s">
        <v>1668</v>
      </c>
      <c r="K200" s="54"/>
      <c r="L200" s="54"/>
      <c r="M200" s="54"/>
      <c r="N200" s="54"/>
      <c r="O200" s="54"/>
      <c r="P200" s="54"/>
      <c r="Q200" s="54" t="s">
        <v>1669</v>
      </c>
      <c r="R200" s="57" t="s">
        <v>74</v>
      </c>
      <c r="S200" s="54" t="s">
        <v>1670</v>
      </c>
      <c r="T200" s="54"/>
      <c r="U200" s="54"/>
      <c r="V200" s="55">
        <v>42831</v>
      </c>
      <c r="W200" s="54"/>
      <c r="X200" s="54"/>
      <c r="Y200" s="54" t="s">
        <v>85</v>
      </c>
      <c r="Z200" s="54"/>
      <c r="AA200" s="54"/>
      <c r="AB200" s="54"/>
      <c r="AC200" s="58">
        <v>43260</v>
      </c>
      <c r="AD200" s="7"/>
      <c r="AE200" s="7"/>
      <c r="AF200" s="46"/>
      <c r="AG200" s="47"/>
      <c r="AH200" s="46"/>
      <c r="AI200" s="46"/>
    </row>
    <row r="201" spans="1:35" x14ac:dyDescent="0.25">
      <c r="A201" s="48">
        <v>194</v>
      </c>
      <c r="B201" s="37" t="s">
        <v>1671</v>
      </c>
      <c r="C201" s="38" t="s">
        <v>1672</v>
      </c>
      <c r="D201" s="39">
        <v>35064</v>
      </c>
      <c r="E201" s="38" t="s">
        <v>40</v>
      </c>
      <c r="F201" s="40" t="s">
        <v>48</v>
      </c>
      <c r="G201" s="38" t="s">
        <v>1673</v>
      </c>
      <c r="H201" s="38" t="s">
        <v>113</v>
      </c>
      <c r="I201" s="38" t="s">
        <v>114</v>
      </c>
      <c r="J201" s="41" t="s">
        <v>1674</v>
      </c>
      <c r="K201" s="41" t="s">
        <v>1675</v>
      </c>
      <c r="L201" s="43"/>
      <c r="M201" s="38" t="s">
        <v>99</v>
      </c>
      <c r="N201" s="43" t="s">
        <v>48</v>
      </c>
      <c r="O201" s="43"/>
      <c r="P201" s="41" t="s">
        <v>1676</v>
      </c>
      <c r="Q201" s="41" t="s">
        <v>1677</v>
      </c>
      <c r="R201" s="50" t="s">
        <v>1678</v>
      </c>
      <c r="S201" s="38" t="s">
        <v>1679</v>
      </c>
      <c r="T201" s="38" t="s">
        <v>152</v>
      </c>
      <c r="U201" s="38" t="s">
        <v>1680</v>
      </c>
      <c r="V201" s="60">
        <v>42836</v>
      </c>
      <c r="W201" s="41" t="s">
        <v>1681</v>
      </c>
      <c r="X201" s="38" t="s">
        <v>1682</v>
      </c>
      <c r="Y201" s="38" t="s">
        <v>52</v>
      </c>
      <c r="Z201" s="38" t="s">
        <v>416</v>
      </c>
      <c r="AA201" s="38" t="s">
        <v>125</v>
      </c>
      <c r="AB201" s="38" t="s">
        <v>157</v>
      </c>
      <c r="AC201" s="45"/>
      <c r="AD201" s="7"/>
      <c r="AE201" s="7"/>
      <c r="AF201" s="46"/>
      <c r="AG201" s="47"/>
      <c r="AH201" s="46"/>
      <c r="AI201" s="46"/>
    </row>
    <row r="202" spans="1:35" x14ac:dyDescent="0.25">
      <c r="A202" s="36">
        <v>195</v>
      </c>
      <c r="B202" s="53" t="s">
        <v>1683</v>
      </c>
      <c r="C202" s="54" t="s">
        <v>912</v>
      </c>
      <c r="D202" s="55">
        <v>35844</v>
      </c>
      <c r="E202" s="54" t="s">
        <v>40</v>
      </c>
      <c r="F202" s="53"/>
      <c r="G202" s="54" t="s">
        <v>1684</v>
      </c>
      <c r="H202" s="54"/>
      <c r="I202" s="54"/>
      <c r="J202" s="54" t="s">
        <v>1685</v>
      </c>
      <c r="K202" s="54"/>
      <c r="L202" s="54"/>
      <c r="M202" s="54"/>
      <c r="N202" s="54"/>
      <c r="O202" s="54"/>
      <c r="P202" s="54"/>
      <c r="Q202" s="54" t="s">
        <v>1686</v>
      </c>
      <c r="R202" s="57" t="s">
        <v>74</v>
      </c>
      <c r="S202" s="54" t="s">
        <v>1687</v>
      </c>
      <c r="T202" s="54"/>
      <c r="U202" s="54" t="s">
        <v>1688</v>
      </c>
      <c r="V202" s="55">
        <v>42836</v>
      </c>
      <c r="W202" s="54"/>
      <c r="X202" s="54"/>
      <c r="Y202" s="54" t="s">
        <v>85</v>
      </c>
      <c r="Z202" s="54"/>
      <c r="AA202" s="54"/>
      <c r="AB202" s="54"/>
      <c r="AC202" s="58">
        <v>43374</v>
      </c>
      <c r="AD202" s="7"/>
      <c r="AE202" s="7"/>
      <c r="AF202" s="46" t="str">
        <f>IF(R202="","",RIGHT(R202,LEN(R202)-FIND("@",R202)))</f>
        <v/>
      </c>
      <c r="AG202" s="47">
        <f>LEN(R202)-LEN(SUBSTITUTE(R202," ",""))</f>
        <v>0</v>
      </c>
      <c r="AH202" s="46" t="str">
        <f>SUBSTITUTE(R202," ","")</f>
        <v/>
      </c>
      <c r="AI202" s="46">
        <f>LEN(AH202)-LEN(SUBSTITUTE(AH202," ",""))</f>
        <v>0</v>
      </c>
    </row>
    <row r="203" spans="1:35" x14ac:dyDescent="0.25">
      <c r="A203" s="36">
        <v>196</v>
      </c>
      <c r="B203" s="53" t="s">
        <v>1689</v>
      </c>
      <c r="C203" s="54" t="s">
        <v>1397</v>
      </c>
      <c r="D203" s="55">
        <v>31853</v>
      </c>
      <c r="E203" s="54" t="s">
        <v>40</v>
      </c>
      <c r="F203" s="53"/>
      <c r="G203" s="54" t="s">
        <v>1690</v>
      </c>
      <c r="H203" s="54"/>
      <c r="I203" s="54"/>
      <c r="J203" s="54" t="s">
        <v>1691</v>
      </c>
      <c r="K203" s="54"/>
      <c r="L203" s="54"/>
      <c r="M203" s="54"/>
      <c r="N203" s="54"/>
      <c r="O203" s="54"/>
      <c r="P203" s="54"/>
      <c r="Q203" s="54" t="s">
        <v>1692</v>
      </c>
      <c r="R203" s="57" t="s">
        <v>74</v>
      </c>
      <c r="S203" s="54" t="s">
        <v>1693</v>
      </c>
      <c r="T203" s="54"/>
      <c r="U203" s="54"/>
      <c r="V203" s="55">
        <v>42856</v>
      </c>
      <c r="W203" s="54"/>
      <c r="X203" s="54"/>
      <c r="Y203" s="54" t="s">
        <v>85</v>
      </c>
      <c r="Z203" s="54"/>
      <c r="AA203" s="54"/>
      <c r="AB203" s="54"/>
      <c r="AC203" s="58">
        <v>42866</v>
      </c>
      <c r="AD203" s="7"/>
      <c r="AE203" s="7"/>
      <c r="AF203" s="46"/>
      <c r="AG203" s="47"/>
      <c r="AH203" s="46"/>
      <c r="AI203" s="46"/>
    </row>
    <row r="204" spans="1:35" x14ac:dyDescent="0.25">
      <c r="A204" s="36">
        <v>197</v>
      </c>
      <c r="B204" s="53" t="s">
        <v>1694</v>
      </c>
      <c r="C204" s="54" t="s">
        <v>1266</v>
      </c>
      <c r="D204" s="55">
        <v>36145</v>
      </c>
      <c r="E204" s="54" t="s">
        <v>95</v>
      </c>
      <c r="F204" s="53"/>
      <c r="G204" s="54" t="s">
        <v>1695</v>
      </c>
      <c r="H204" s="54"/>
      <c r="I204" s="54"/>
      <c r="J204" s="54" t="s">
        <v>1696</v>
      </c>
      <c r="K204" s="54"/>
      <c r="L204" s="54"/>
      <c r="M204" s="54" t="s">
        <v>99</v>
      </c>
      <c r="N204" s="54"/>
      <c r="O204" s="54"/>
      <c r="P204" s="54"/>
      <c r="Q204" s="54" t="s">
        <v>1697</v>
      </c>
      <c r="R204" s="57" t="s">
        <v>74</v>
      </c>
      <c r="S204" s="54" t="s">
        <v>1698</v>
      </c>
      <c r="T204" s="54"/>
      <c r="U204" s="54"/>
      <c r="V204" s="55">
        <v>42861</v>
      </c>
      <c r="W204" s="54"/>
      <c r="X204" s="54"/>
      <c r="Y204" s="54" t="s">
        <v>85</v>
      </c>
      <c r="Z204" s="54"/>
      <c r="AA204" s="54"/>
      <c r="AB204" s="54"/>
      <c r="AC204" s="58">
        <v>43260</v>
      </c>
      <c r="AD204" s="7"/>
      <c r="AE204" s="7"/>
      <c r="AF204" s="46"/>
      <c r="AG204" s="47"/>
      <c r="AH204" s="46"/>
      <c r="AI204" s="46"/>
    </row>
    <row r="205" spans="1:35" x14ac:dyDescent="0.25">
      <c r="A205" s="36">
        <v>198</v>
      </c>
      <c r="B205" s="37" t="s">
        <v>1699</v>
      </c>
      <c r="C205" s="38" t="s">
        <v>1700</v>
      </c>
      <c r="D205" s="39">
        <v>34771</v>
      </c>
      <c r="E205" s="38" t="s">
        <v>95</v>
      </c>
      <c r="F205" s="38" t="s">
        <v>48</v>
      </c>
      <c r="G205" s="38" t="s">
        <v>1701</v>
      </c>
      <c r="H205" s="38" t="s">
        <v>510</v>
      </c>
      <c r="I205" s="38" t="s">
        <v>44</v>
      </c>
      <c r="J205" s="41" t="s">
        <v>1702</v>
      </c>
      <c r="K205" s="41" t="s">
        <v>1703</v>
      </c>
      <c r="L205" s="41"/>
      <c r="M205" s="38" t="s">
        <v>99</v>
      </c>
      <c r="N205" s="43" t="s">
        <v>1704</v>
      </c>
      <c r="O205" s="43" t="s">
        <v>428</v>
      </c>
      <c r="P205" s="41" t="s">
        <v>1705</v>
      </c>
      <c r="Q205" s="41" t="s">
        <v>1706</v>
      </c>
      <c r="R205" s="50" t="s">
        <v>1707</v>
      </c>
      <c r="S205" s="38" t="s">
        <v>1708</v>
      </c>
      <c r="T205" s="38" t="s">
        <v>613</v>
      </c>
      <c r="U205" s="38" t="s">
        <v>1709</v>
      </c>
      <c r="V205" s="60">
        <v>42874</v>
      </c>
      <c r="W205" s="41" t="s">
        <v>1710</v>
      </c>
      <c r="X205" s="38" t="s">
        <v>1711</v>
      </c>
      <c r="Y205" s="38" t="s">
        <v>52</v>
      </c>
      <c r="Z205" s="38" t="s">
        <v>172</v>
      </c>
      <c r="AA205" s="38" t="s">
        <v>125</v>
      </c>
      <c r="AB205" s="38" t="s">
        <v>1599</v>
      </c>
      <c r="AC205" s="45"/>
      <c r="AD205" s="7"/>
      <c r="AE205" s="7"/>
      <c r="AF205" s="46" t="str">
        <f>IF(R205="","",RIGHT(R205,LEN(R205)-FIND("@",R205)))</f>
        <v>gmail.com</v>
      </c>
      <c r="AG205" s="47">
        <f>LEN(R205)-LEN(SUBSTITUTE(R205," ",""))</f>
        <v>0</v>
      </c>
      <c r="AH205" s="46" t="str">
        <f>SUBSTITUTE(R205," ","")</f>
        <v>ekulla744@gmail.com</v>
      </c>
      <c r="AI205" s="46">
        <f>LEN(AH205)-LEN(SUBSTITUTE(AH205," ",""))</f>
        <v>0</v>
      </c>
    </row>
    <row r="206" spans="1:35" x14ac:dyDescent="0.25">
      <c r="A206" s="36">
        <v>199</v>
      </c>
      <c r="B206" s="53" t="s">
        <v>1712</v>
      </c>
      <c r="C206" s="54" t="s">
        <v>1713</v>
      </c>
      <c r="D206" s="55">
        <v>31097</v>
      </c>
      <c r="E206" s="54" t="s">
        <v>40</v>
      </c>
      <c r="F206" s="53"/>
      <c r="G206" s="54" t="s">
        <v>1714</v>
      </c>
      <c r="H206" s="54"/>
      <c r="I206" s="54"/>
      <c r="J206" s="54" t="s">
        <v>1715</v>
      </c>
      <c r="K206" s="54"/>
      <c r="L206" s="54"/>
      <c r="M206" s="54"/>
      <c r="N206" s="54"/>
      <c r="O206" s="54"/>
      <c r="P206" s="54"/>
      <c r="Q206" s="54" t="s">
        <v>1716</v>
      </c>
      <c r="R206" s="57" t="s">
        <v>74</v>
      </c>
      <c r="S206" s="54" t="s">
        <v>1717</v>
      </c>
      <c r="T206" s="54"/>
      <c r="U206" s="54"/>
      <c r="V206" s="55">
        <v>42877</v>
      </c>
      <c r="W206" s="54"/>
      <c r="X206" s="54"/>
      <c r="Y206" s="54" t="s">
        <v>85</v>
      </c>
      <c r="Z206" s="54"/>
      <c r="AA206" s="54"/>
      <c r="AB206" s="54"/>
      <c r="AC206" s="58">
        <v>42908</v>
      </c>
      <c r="AD206" s="7"/>
      <c r="AE206" s="7"/>
      <c r="AF206" s="46"/>
      <c r="AG206" s="47"/>
      <c r="AH206" s="46"/>
      <c r="AI206" s="46"/>
    </row>
    <row r="207" spans="1:35" x14ac:dyDescent="0.25">
      <c r="A207" s="48">
        <v>200</v>
      </c>
      <c r="B207" s="53" t="s">
        <v>1718</v>
      </c>
      <c r="C207" s="54" t="s">
        <v>1719</v>
      </c>
      <c r="D207" s="55">
        <v>35771</v>
      </c>
      <c r="E207" s="54" t="s">
        <v>95</v>
      </c>
      <c r="F207" s="53"/>
      <c r="G207" s="54" t="s">
        <v>1482</v>
      </c>
      <c r="H207" s="54"/>
      <c r="I207" s="54"/>
      <c r="J207" s="54" t="s">
        <v>1720</v>
      </c>
      <c r="K207" s="54"/>
      <c r="L207" s="54"/>
      <c r="M207" s="54" t="s">
        <v>99</v>
      </c>
      <c r="N207" s="54"/>
      <c r="O207" s="54"/>
      <c r="P207" s="54"/>
      <c r="Q207" s="54" t="s">
        <v>1721</v>
      </c>
      <c r="R207" s="57" t="s">
        <v>74</v>
      </c>
      <c r="S207" s="54" t="s">
        <v>1722</v>
      </c>
      <c r="T207" s="54"/>
      <c r="U207" s="54"/>
      <c r="V207" s="55">
        <v>42884</v>
      </c>
      <c r="W207" s="54"/>
      <c r="X207" s="54"/>
      <c r="Y207" s="54" t="s">
        <v>85</v>
      </c>
      <c r="Z207" s="54"/>
      <c r="AA207" s="54"/>
      <c r="AB207" s="54"/>
      <c r="AC207" s="58">
        <v>43040</v>
      </c>
      <c r="AD207" s="7"/>
      <c r="AE207" s="7"/>
      <c r="AF207" s="46"/>
      <c r="AG207" s="47"/>
      <c r="AH207" s="46"/>
      <c r="AI207" s="46"/>
    </row>
    <row r="208" spans="1:35" x14ac:dyDescent="0.25">
      <c r="A208" s="36">
        <v>201</v>
      </c>
      <c r="B208" s="53" t="s">
        <v>1723</v>
      </c>
      <c r="C208" s="54" t="s">
        <v>1719</v>
      </c>
      <c r="D208" s="55">
        <v>35989</v>
      </c>
      <c r="E208" s="54" t="s">
        <v>95</v>
      </c>
      <c r="F208" s="53"/>
      <c r="G208" s="54" t="s">
        <v>1724</v>
      </c>
      <c r="H208" s="54"/>
      <c r="I208" s="54"/>
      <c r="J208" s="54" t="s">
        <v>1725</v>
      </c>
      <c r="K208" s="54"/>
      <c r="L208" s="54"/>
      <c r="M208" s="54" t="s">
        <v>99</v>
      </c>
      <c r="N208" s="54"/>
      <c r="O208" s="54"/>
      <c r="P208" s="54"/>
      <c r="Q208" s="54" t="s">
        <v>1726</v>
      </c>
      <c r="R208" s="57" t="s">
        <v>74</v>
      </c>
      <c r="S208" s="54" t="s">
        <v>1727</v>
      </c>
      <c r="T208" s="54"/>
      <c r="U208" s="54" t="s">
        <v>1728</v>
      </c>
      <c r="V208" s="55">
        <v>42884</v>
      </c>
      <c r="W208" s="54"/>
      <c r="X208" s="54"/>
      <c r="Y208" s="54" t="s">
        <v>85</v>
      </c>
      <c r="Z208" s="54"/>
      <c r="AA208" s="54"/>
      <c r="AB208" s="54"/>
      <c r="AC208" s="58">
        <v>43736</v>
      </c>
      <c r="AD208" s="7"/>
      <c r="AE208" s="7"/>
      <c r="AF208" s="46" t="str">
        <f>IF(R208="","",RIGHT(R208,LEN(R208)-FIND("@",R208)))</f>
        <v/>
      </c>
      <c r="AG208" s="47">
        <f>LEN(R208)-LEN(SUBSTITUTE(R208," ",""))</f>
        <v>0</v>
      </c>
      <c r="AH208" s="46" t="str">
        <f>SUBSTITUTE(R208," ","")</f>
        <v/>
      </c>
      <c r="AI208" s="46">
        <f>LEN(AH208)-LEN(SUBSTITUTE(AH208," ",""))</f>
        <v>0</v>
      </c>
    </row>
    <row r="209" spans="1:35" x14ac:dyDescent="0.25">
      <c r="A209" s="36">
        <v>202</v>
      </c>
      <c r="B209" s="53" t="s">
        <v>1729</v>
      </c>
      <c r="C209" s="54" t="s">
        <v>1730</v>
      </c>
      <c r="D209" s="55">
        <v>35512</v>
      </c>
      <c r="E209" s="54" t="s">
        <v>40</v>
      </c>
      <c r="F209" s="53"/>
      <c r="G209" s="54" t="s">
        <v>1731</v>
      </c>
      <c r="H209" s="54"/>
      <c r="I209" s="54"/>
      <c r="J209" s="54" t="s">
        <v>1732</v>
      </c>
      <c r="K209" s="54"/>
      <c r="L209" s="54"/>
      <c r="M209" s="54"/>
      <c r="N209" s="54"/>
      <c r="O209" s="54"/>
      <c r="P209" s="54"/>
      <c r="Q209" s="54" t="s">
        <v>1733</v>
      </c>
      <c r="R209" s="57" t="s">
        <v>74</v>
      </c>
      <c r="S209" s="54" t="s">
        <v>1722</v>
      </c>
      <c r="T209" s="54"/>
      <c r="U209" s="54" t="s">
        <v>1734</v>
      </c>
      <c r="V209" s="55">
        <v>42884</v>
      </c>
      <c r="W209" s="54"/>
      <c r="X209" s="54"/>
      <c r="Y209" s="54" t="s">
        <v>85</v>
      </c>
      <c r="Z209" s="54"/>
      <c r="AA209" s="54"/>
      <c r="AB209" s="54"/>
      <c r="AC209" s="58">
        <v>43770</v>
      </c>
      <c r="AD209" s="7"/>
      <c r="AE209" s="7"/>
      <c r="AF209" s="46"/>
      <c r="AG209" s="47"/>
      <c r="AH209" s="46"/>
      <c r="AI209" s="46"/>
    </row>
    <row r="210" spans="1:35" x14ac:dyDescent="0.25">
      <c r="A210" s="36">
        <v>203</v>
      </c>
      <c r="B210" s="53" t="s">
        <v>1735</v>
      </c>
      <c r="C210" s="54" t="s">
        <v>1266</v>
      </c>
      <c r="D210" s="55">
        <v>34708</v>
      </c>
      <c r="E210" s="54" t="s">
        <v>95</v>
      </c>
      <c r="F210" s="53"/>
      <c r="G210" s="54" t="s">
        <v>1736</v>
      </c>
      <c r="H210" s="54"/>
      <c r="I210" s="54"/>
      <c r="J210" s="54" t="s">
        <v>1737</v>
      </c>
      <c r="K210" s="54"/>
      <c r="L210" s="54"/>
      <c r="M210" s="54" t="s">
        <v>99</v>
      </c>
      <c r="N210" s="54"/>
      <c r="O210" s="54"/>
      <c r="P210" s="54"/>
      <c r="Q210" s="54" t="s">
        <v>1738</v>
      </c>
      <c r="R210" s="57" t="s">
        <v>74</v>
      </c>
      <c r="S210" s="54" t="s">
        <v>1736</v>
      </c>
      <c r="T210" s="54"/>
      <c r="U210" s="54"/>
      <c r="V210" s="55">
        <v>42906</v>
      </c>
      <c r="W210" s="54"/>
      <c r="X210" s="54"/>
      <c r="Y210" s="54" t="s">
        <v>85</v>
      </c>
      <c r="Z210" s="54"/>
      <c r="AA210" s="54"/>
      <c r="AB210" s="54"/>
      <c r="AC210" s="58">
        <v>43220</v>
      </c>
      <c r="AD210" s="7"/>
      <c r="AE210" s="7"/>
      <c r="AF210" s="46" t="str">
        <f>IF(R210="","",RIGHT(R210,LEN(R210)-FIND("@",R210)))</f>
        <v/>
      </c>
      <c r="AG210" s="47">
        <f>LEN(R210)-LEN(SUBSTITUTE(R210," ",""))</f>
        <v>0</v>
      </c>
      <c r="AH210" s="46" t="str">
        <f>SUBSTITUTE(R210," ","")</f>
        <v/>
      </c>
      <c r="AI210" s="46">
        <f>LEN(AH210)-LEN(SUBSTITUTE(AH210," ",""))</f>
        <v>0</v>
      </c>
    </row>
    <row r="211" spans="1:35" x14ac:dyDescent="0.25">
      <c r="A211" s="36">
        <v>204</v>
      </c>
      <c r="B211" s="37" t="s">
        <v>1739</v>
      </c>
      <c r="C211" s="38" t="s">
        <v>1740</v>
      </c>
      <c r="D211" s="39">
        <v>34234</v>
      </c>
      <c r="E211" s="38" t="s">
        <v>40</v>
      </c>
      <c r="F211" s="38" t="s">
        <v>129</v>
      </c>
      <c r="G211" s="38" t="s">
        <v>1741</v>
      </c>
      <c r="H211" s="38" t="s">
        <v>72</v>
      </c>
      <c r="I211" s="38" t="s">
        <v>114</v>
      </c>
      <c r="J211" s="41" t="s">
        <v>1742</v>
      </c>
      <c r="K211" s="41" t="s">
        <v>1743</v>
      </c>
      <c r="L211" s="67"/>
      <c r="M211" s="38" t="s">
        <v>99</v>
      </c>
      <c r="N211" s="43" t="s">
        <v>1744</v>
      </c>
      <c r="O211" s="43" t="s">
        <v>428</v>
      </c>
      <c r="P211" s="41" t="s">
        <v>1745</v>
      </c>
      <c r="Q211" s="43" t="s">
        <v>1746</v>
      </c>
      <c r="R211" s="50" t="s">
        <v>1747</v>
      </c>
      <c r="S211" s="38" t="s">
        <v>1748</v>
      </c>
      <c r="T211" s="38" t="s">
        <v>1749</v>
      </c>
      <c r="U211" s="40" t="s">
        <v>1750</v>
      </c>
      <c r="V211" s="60">
        <v>42909</v>
      </c>
      <c r="W211" s="41" t="s">
        <v>1751</v>
      </c>
      <c r="X211" s="38" t="s">
        <v>1752</v>
      </c>
      <c r="Y211" s="38" t="s">
        <v>52</v>
      </c>
      <c r="Z211" s="38" t="s">
        <v>735</v>
      </c>
      <c r="AA211" s="38" t="s">
        <v>125</v>
      </c>
      <c r="AB211" s="38" t="s">
        <v>884</v>
      </c>
      <c r="AC211" s="45"/>
      <c r="AD211" s="7"/>
      <c r="AE211" s="7"/>
      <c r="AF211" s="46" t="str">
        <f>IF(R211="","",RIGHT(R211,LEN(R211)-FIND("@",R211)))</f>
        <v>ymail.com</v>
      </c>
      <c r="AG211" s="47">
        <f>LEN(R211)-LEN(SUBSTITUTE(R211," ",""))</f>
        <v>0</v>
      </c>
      <c r="AH211" s="46" t="str">
        <f>SUBSTITUTE(R211," ","")</f>
        <v>wayan.sugiana@ymail.com</v>
      </c>
      <c r="AI211" s="46">
        <f>LEN(AH211)-LEN(SUBSTITUTE(AH211," ",""))</f>
        <v>0</v>
      </c>
    </row>
    <row r="212" spans="1:35" x14ac:dyDescent="0.25">
      <c r="A212" s="36">
        <v>205</v>
      </c>
      <c r="B212" s="53" t="s">
        <v>1753</v>
      </c>
      <c r="C212" s="54" t="s">
        <v>1754</v>
      </c>
      <c r="D212" s="55">
        <v>35609</v>
      </c>
      <c r="E212" s="54" t="s">
        <v>95</v>
      </c>
      <c r="F212" s="53"/>
      <c r="G212" s="54" t="s">
        <v>1755</v>
      </c>
      <c r="H212" s="54"/>
      <c r="I212" s="54"/>
      <c r="J212" s="54" t="s">
        <v>1756</v>
      </c>
      <c r="K212" s="54"/>
      <c r="L212" s="54"/>
      <c r="M212" s="54" t="s">
        <v>99</v>
      </c>
      <c r="N212" s="54"/>
      <c r="O212" s="54"/>
      <c r="P212" s="54"/>
      <c r="Q212" s="54" t="s">
        <v>1757</v>
      </c>
      <c r="R212" s="57" t="s">
        <v>74</v>
      </c>
      <c r="S212" s="54" t="s">
        <v>1758</v>
      </c>
      <c r="T212" s="54"/>
      <c r="U212" s="54" t="s">
        <v>1759</v>
      </c>
      <c r="V212" s="55">
        <v>42909</v>
      </c>
      <c r="W212" s="54"/>
      <c r="X212" s="54"/>
      <c r="Y212" s="54" t="s">
        <v>85</v>
      </c>
      <c r="Z212" s="54"/>
      <c r="AA212" s="54"/>
      <c r="AB212" s="54"/>
      <c r="AC212" s="58">
        <v>43434</v>
      </c>
      <c r="AD212" s="7"/>
      <c r="AE212" s="7"/>
      <c r="AF212" s="46" t="str">
        <f>IF(R212="","",RIGHT(R212,LEN(R212)-FIND("@",R212)))</f>
        <v/>
      </c>
      <c r="AG212" s="47">
        <f>LEN(R212)-LEN(SUBSTITUTE(R212," ",""))</f>
        <v>0</v>
      </c>
      <c r="AH212" s="46" t="str">
        <f>SUBSTITUTE(R212," ","")</f>
        <v/>
      </c>
      <c r="AI212" s="46">
        <f>LEN(AH212)-LEN(SUBSTITUTE(AH212," ",""))</f>
        <v>0</v>
      </c>
    </row>
    <row r="213" spans="1:35" x14ac:dyDescent="0.25">
      <c r="A213" s="48">
        <v>206</v>
      </c>
      <c r="B213" s="37" t="s">
        <v>1760</v>
      </c>
      <c r="C213" s="38" t="s">
        <v>94</v>
      </c>
      <c r="D213" s="39">
        <v>34898</v>
      </c>
      <c r="E213" s="38" t="s">
        <v>95</v>
      </c>
      <c r="F213" s="38" t="s">
        <v>129</v>
      </c>
      <c r="G213" s="38" t="s">
        <v>1761</v>
      </c>
      <c r="H213" s="38" t="s">
        <v>72</v>
      </c>
      <c r="I213" s="38" t="s">
        <v>44</v>
      </c>
      <c r="J213" s="41" t="s">
        <v>1762</v>
      </c>
      <c r="K213" s="41" t="s">
        <v>1763</v>
      </c>
      <c r="L213" s="41"/>
      <c r="M213" s="38" t="s">
        <v>99</v>
      </c>
      <c r="N213" s="41" t="s">
        <v>1764</v>
      </c>
      <c r="O213" s="41" t="s">
        <v>147</v>
      </c>
      <c r="P213" s="41" t="s">
        <v>1765</v>
      </c>
      <c r="Q213" s="41" t="s">
        <v>1766</v>
      </c>
      <c r="R213" s="50" t="s">
        <v>1767</v>
      </c>
      <c r="S213" s="38" t="s">
        <v>1768</v>
      </c>
      <c r="T213" s="38" t="s">
        <v>1769</v>
      </c>
      <c r="U213" s="38" t="s">
        <v>1770</v>
      </c>
      <c r="V213" s="60">
        <v>42917</v>
      </c>
      <c r="W213" s="41" t="s">
        <v>1771</v>
      </c>
      <c r="X213" s="38" t="s">
        <v>1772</v>
      </c>
      <c r="Y213" s="38" t="s">
        <v>52</v>
      </c>
      <c r="Z213" s="38" t="s">
        <v>172</v>
      </c>
      <c r="AA213" s="38" t="s">
        <v>125</v>
      </c>
      <c r="AB213" s="38" t="s">
        <v>1570</v>
      </c>
      <c r="AC213" s="45"/>
      <c r="AD213" s="7"/>
      <c r="AE213" s="7"/>
      <c r="AF213" s="46"/>
      <c r="AG213" s="47"/>
      <c r="AH213" s="46"/>
      <c r="AI213" s="46"/>
    </row>
    <row r="214" spans="1:35" x14ac:dyDescent="0.25">
      <c r="A214" s="36">
        <v>207</v>
      </c>
      <c r="B214" s="37" t="s">
        <v>1773</v>
      </c>
      <c r="C214" s="38" t="s">
        <v>976</v>
      </c>
      <c r="D214" s="39">
        <v>34483</v>
      </c>
      <c r="E214" s="38" t="s">
        <v>40</v>
      </c>
      <c r="F214" s="40" t="s">
        <v>48</v>
      </c>
      <c r="G214" s="38" t="s">
        <v>1774</v>
      </c>
      <c r="H214" s="38" t="s">
        <v>72</v>
      </c>
      <c r="I214" s="38" t="s">
        <v>114</v>
      </c>
      <c r="J214" s="41" t="s">
        <v>1775</v>
      </c>
      <c r="K214" s="41" t="s">
        <v>1776</v>
      </c>
      <c r="L214" s="43"/>
      <c r="M214" s="38" t="s">
        <v>99</v>
      </c>
      <c r="N214" s="43" t="s">
        <v>1777</v>
      </c>
      <c r="O214" s="43" t="s">
        <v>428</v>
      </c>
      <c r="P214" s="41" t="s">
        <v>1778</v>
      </c>
      <c r="Q214" s="41"/>
      <c r="R214" s="50" t="s">
        <v>1779</v>
      </c>
      <c r="S214" s="38" t="s">
        <v>1780</v>
      </c>
      <c r="T214" s="38"/>
      <c r="U214" s="38"/>
      <c r="V214" s="60">
        <v>42917</v>
      </c>
      <c r="W214" s="41" t="s">
        <v>1781</v>
      </c>
      <c r="X214" s="38" t="s">
        <v>1782</v>
      </c>
      <c r="Y214" s="38" t="s">
        <v>52</v>
      </c>
      <c r="Z214" s="38" t="s">
        <v>898</v>
      </c>
      <c r="AA214" s="38" t="s">
        <v>777</v>
      </c>
      <c r="AB214" s="38" t="s">
        <v>778</v>
      </c>
      <c r="AC214" s="45"/>
      <c r="AD214" s="7"/>
      <c r="AE214" s="7"/>
      <c r="AF214" s="46"/>
      <c r="AG214" s="47"/>
      <c r="AH214" s="46"/>
      <c r="AI214" s="46"/>
    </row>
    <row r="215" spans="1:35" x14ac:dyDescent="0.25">
      <c r="A215" s="36">
        <v>208</v>
      </c>
      <c r="B215" s="37" t="s">
        <v>1783</v>
      </c>
      <c r="C215" s="38" t="s">
        <v>554</v>
      </c>
      <c r="D215" s="39">
        <v>30418</v>
      </c>
      <c r="E215" s="38" t="s">
        <v>95</v>
      </c>
      <c r="F215" s="40" t="s">
        <v>48</v>
      </c>
      <c r="G215" s="38" t="s">
        <v>1784</v>
      </c>
      <c r="H215" s="38" t="s">
        <v>72</v>
      </c>
      <c r="I215" s="38" t="s">
        <v>44</v>
      </c>
      <c r="J215" s="41" t="s">
        <v>1785</v>
      </c>
      <c r="K215" s="41"/>
      <c r="L215" s="41"/>
      <c r="M215" s="38" t="s">
        <v>99</v>
      </c>
      <c r="N215" s="43" t="s">
        <v>48</v>
      </c>
      <c r="O215" s="43"/>
      <c r="P215" s="41" t="s">
        <v>1786</v>
      </c>
      <c r="Q215" s="41" t="s">
        <v>1787</v>
      </c>
      <c r="R215" s="50" t="s">
        <v>1788</v>
      </c>
      <c r="S215" s="38" t="s">
        <v>1789</v>
      </c>
      <c r="T215" s="38"/>
      <c r="U215" s="38"/>
      <c r="V215" s="60">
        <v>42923</v>
      </c>
      <c r="W215" s="41" t="s">
        <v>1790</v>
      </c>
      <c r="X215" s="38" t="s">
        <v>1791</v>
      </c>
      <c r="Y215" s="38" t="s">
        <v>52</v>
      </c>
      <c r="Z215" s="38" t="s">
        <v>172</v>
      </c>
      <c r="AA215" s="38" t="s">
        <v>125</v>
      </c>
      <c r="AB215" s="38" t="s">
        <v>467</v>
      </c>
      <c r="AC215" s="45"/>
      <c r="AD215" s="7"/>
      <c r="AE215" s="7"/>
      <c r="AF215" s="46"/>
      <c r="AG215" s="47"/>
      <c r="AH215" s="46"/>
      <c r="AI215" s="46"/>
    </row>
    <row r="216" spans="1:35" x14ac:dyDescent="0.25">
      <c r="A216" s="36">
        <v>209</v>
      </c>
      <c r="B216" s="37" t="s">
        <v>1792</v>
      </c>
      <c r="C216" s="38" t="s">
        <v>1533</v>
      </c>
      <c r="D216" s="39">
        <v>32236</v>
      </c>
      <c r="E216" s="38" t="s">
        <v>40</v>
      </c>
      <c r="F216" s="40" t="s">
        <v>48</v>
      </c>
      <c r="G216" s="38" t="s">
        <v>1793</v>
      </c>
      <c r="H216" s="38" t="s">
        <v>72</v>
      </c>
      <c r="I216" s="38" t="s">
        <v>44</v>
      </c>
      <c r="J216" s="41" t="s">
        <v>1794</v>
      </c>
      <c r="K216" s="41" t="s">
        <v>1795</v>
      </c>
      <c r="L216" s="43"/>
      <c r="M216" s="38" t="s">
        <v>99</v>
      </c>
      <c r="N216" s="43" t="s">
        <v>1796</v>
      </c>
      <c r="O216" s="43" t="s">
        <v>147</v>
      </c>
      <c r="P216" s="41" t="s">
        <v>1797</v>
      </c>
      <c r="Q216" s="41" t="s">
        <v>1798</v>
      </c>
      <c r="R216" s="50" t="s">
        <v>1799</v>
      </c>
      <c r="S216" s="38" t="s">
        <v>1800</v>
      </c>
      <c r="T216" s="38" t="s">
        <v>152</v>
      </c>
      <c r="U216" s="38" t="s">
        <v>1801</v>
      </c>
      <c r="V216" s="60">
        <v>42923</v>
      </c>
      <c r="W216" s="41" t="s">
        <v>1802</v>
      </c>
      <c r="X216" s="38" t="s">
        <v>1803</v>
      </c>
      <c r="Y216" s="38" t="s">
        <v>52</v>
      </c>
      <c r="Z216" s="38" t="s">
        <v>1315</v>
      </c>
      <c r="AA216" s="38" t="s">
        <v>777</v>
      </c>
      <c r="AB216" s="38" t="s">
        <v>778</v>
      </c>
      <c r="AC216" s="45"/>
      <c r="AD216" s="7"/>
      <c r="AE216" s="7"/>
      <c r="AF216" s="46" t="str">
        <f>IF(R216="","",RIGHT(R216,LEN(R216)-FIND("@",R216)))</f>
        <v>gmail.com</v>
      </c>
      <c r="AG216" s="47">
        <f>LEN(R216)-LEN(SUBSTITUTE(R216," ",""))</f>
        <v>0</v>
      </c>
      <c r="AH216" s="46" t="str">
        <f>SUBSTITUTE(R216," ","")</f>
        <v>amerta765@gmail.com</v>
      </c>
      <c r="AI216" s="46">
        <f>LEN(AH216)-LEN(SUBSTITUTE(AH216," ",""))</f>
        <v>0</v>
      </c>
    </row>
    <row r="217" spans="1:35" x14ac:dyDescent="0.25">
      <c r="A217" s="36">
        <v>210</v>
      </c>
      <c r="B217" s="37" t="s">
        <v>1804</v>
      </c>
      <c r="C217" s="38" t="s">
        <v>533</v>
      </c>
      <c r="D217" s="39">
        <v>33438</v>
      </c>
      <c r="E217" s="38" t="s">
        <v>40</v>
      </c>
      <c r="F217" s="40" t="s">
        <v>48</v>
      </c>
      <c r="G217" s="38" t="s">
        <v>1805</v>
      </c>
      <c r="H217" s="38" t="s">
        <v>72</v>
      </c>
      <c r="I217" s="38" t="s">
        <v>114</v>
      </c>
      <c r="J217" s="41" t="s">
        <v>1806</v>
      </c>
      <c r="K217" s="41" t="s">
        <v>1807</v>
      </c>
      <c r="L217" s="67"/>
      <c r="M217" s="38" t="s">
        <v>99</v>
      </c>
      <c r="N217" s="43" t="s">
        <v>1808</v>
      </c>
      <c r="O217" s="43" t="s">
        <v>428</v>
      </c>
      <c r="P217" s="41" t="s">
        <v>1809</v>
      </c>
      <c r="Q217" s="41" t="s">
        <v>1810</v>
      </c>
      <c r="R217" s="50" t="s">
        <v>1811</v>
      </c>
      <c r="S217" s="38" t="s">
        <v>1812</v>
      </c>
      <c r="T217" s="38" t="s">
        <v>152</v>
      </c>
      <c r="U217" s="38" t="s">
        <v>1813</v>
      </c>
      <c r="V217" s="60">
        <v>42923</v>
      </c>
      <c r="W217" s="41" t="s">
        <v>1814</v>
      </c>
      <c r="X217" s="38" t="s">
        <v>1815</v>
      </c>
      <c r="Y217" s="38" t="s">
        <v>52</v>
      </c>
      <c r="Z217" s="38" t="s">
        <v>1816</v>
      </c>
      <c r="AA217" s="38" t="s">
        <v>777</v>
      </c>
      <c r="AB217" s="38" t="s">
        <v>778</v>
      </c>
      <c r="AC217" s="45"/>
      <c r="AD217" s="7"/>
      <c r="AE217" s="7"/>
      <c r="AF217" s="46" t="str">
        <f>IF(R217="","",RIGHT(R217,LEN(R217)-FIND("@",R217)))</f>
        <v>gmail.com</v>
      </c>
      <c r="AG217" s="47">
        <f>LEN(R217)-LEN(SUBSTITUTE(R217," ",""))</f>
        <v>0</v>
      </c>
      <c r="AH217" s="46" t="str">
        <f>SUBSTITUTE(R217," ","")</f>
        <v>arielsengklex@gmail.com</v>
      </c>
      <c r="AI217" s="46">
        <f>LEN(AH217)-LEN(SUBSTITUTE(AH217," ",""))</f>
        <v>0</v>
      </c>
    </row>
    <row r="218" spans="1:35" x14ac:dyDescent="0.25">
      <c r="A218" s="36">
        <v>211</v>
      </c>
      <c r="B218" s="53" t="s">
        <v>1817</v>
      </c>
      <c r="C218" s="54" t="s">
        <v>1266</v>
      </c>
      <c r="D218" s="55">
        <v>35186</v>
      </c>
      <c r="E218" s="54"/>
      <c r="F218" s="53"/>
      <c r="G218" s="54" t="s">
        <v>1818</v>
      </c>
      <c r="H218" s="54"/>
      <c r="I218" s="54"/>
      <c r="J218" s="54" t="s">
        <v>1819</v>
      </c>
      <c r="K218" s="54"/>
      <c r="L218" s="56"/>
      <c r="M218" s="54"/>
      <c r="N218" s="54"/>
      <c r="O218" s="54"/>
      <c r="P218" s="54"/>
      <c r="Q218" s="54" t="s">
        <v>1820</v>
      </c>
      <c r="R218" s="57" t="s">
        <v>74</v>
      </c>
      <c r="S218" s="54" t="s">
        <v>1818</v>
      </c>
      <c r="T218" s="54"/>
      <c r="U218" s="54"/>
      <c r="V218" s="55">
        <v>42923</v>
      </c>
      <c r="W218" s="54"/>
      <c r="X218" s="54"/>
      <c r="Y218" s="54" t="s">
        <v>85</v>
      </c>
      <c r="Z218" s="54"/>
      <c r="AA218" s="54"/>
      <c r="AB218" s="54"/>
      <c r="AC218" s="58">
        <v>42948</v>
      </c>
      <c r="AD218" s="7"/>
      <c r="AE218" s="7"/>
      <c r="AF218" s="46" t="str">
        <f>IF(R218="","",RIGHT(R218,LEN(R218)-FIND("@",R218)))</f>
        <v/>
      </c>
      <c r="AG218" s="47">
        <f>LEN(R218)-LEN(SUBSTITUTE(R218," ",""))</f>
        <v>0</v>
      </c>
      <c r="AH218" s="46" t="str">
        <f>SUBSTITUTE(R218," ","")</f>
        <v/>
      </c>
      <c r="AI218" s="46">
        <f>LEN(AH218)-LEN(SUBSTITUTE(AH218," ",""))</f>
        <v>0</v>
      </c>
    </row>
    <row r="219" spans="1:35" x14ac:dyDescent="0.25">
      <c r="A219" s="48">
        <v>212</v>
      </c>
      <c r="B219" s="53" t="s">
        <v>1821</v>
      </c>
      <c r="C219" s="54" t="s">
        <v>1822</v>
      </c>
      <c r="D219" s="55">
        <v>36411</v>
      </c>
      <c r="E219" s="54" t="s">
        <v>95</v>
      </c>
      <c r="F219" s="53"/>
      <c r="G219" s="54" t="s">
        <v>1823</v>
      </c>
      <c r="H219" s="54"/>
      <c r="I219" s="54"/>
      <c r="J219" s="54" t="s">
        <v>1824</v>
      </c>
      <c r="K219" s="54"/>
      <c r="L219" s="54"/>
      <c r="M219" s="54" t="s">
        <v>99</v>
      </c>
      <c r="N219" s="54"/>
      <c r="O219" s="54"/>
      <c r="P219" s="54"/>
      <c r="Q219" s="54" t="s">
        <v>1825</v>
      </c>
      <c r="R219" s="57" t="s">
        <v>74</v>
      </c>
      <c r="S219" s="54" t="s">
        <v>1823</v>
      </c>
      <c r="T219" s="54"/>
      <c r="U219" s="54"/>
      <c r="V219" s="55">
        <v>42923</v>
      </c>
      <c r="W219" s="54"/>
      <c r="X219" s="54"/>
      <c r="Y219" s="54" t="s">
        <v>85</v>
      </c>
      <c r="Z219" s="54"/>
      <c r="AA219" s="54"/>
      <c r="AB219" s="54"/>
      <c r="AC219" s="58">
        <v>43282</v>
      </c>
      <c r="AD219" s="7"/>
      <c r="AE219" s="7"/>
      <c r="AF219" s="46"/>
      <c r="AG219" s="47"/>
      <c r="AH219" s="46"/>
      <c r="AI219" s="46"/>
    </row>
    <row r="220" spans="1:35" x14ac:dyDescent="0.25">
      <c r="A220" s="36">
        <v>213</v>
      </c>
      <c r="B220" s="37" t="s">
        <v>1826</v>
      </c>
      <c r="C220" s="38" t="s">
        <v>1827</v>
      </c>
      <c r="D220" s="39">
        <v>33704</v>
      </c>
      <c r="E220" s="38" t="s">
        <v>40</v>
      </c>
      <c r="F220" s="40" t="s">
        <v>48</v>
      </c>
      <c r="G220" s="38" t="s">
        <v>1828</v>
      </c>
      <c r="H220" s="38" t="s">
        <v>72</v>
      </c>
      <c r="I220" s="38" t="s">
        <v>44</v>
      </c>
      <c r="J220" s="41" t="s">
        <v>1829</v>
      </c>
      <c r="K220" s="41"/>
      <c r="L220" s="43"/>
      <c r="M220" s="38" t="s">
        <v>47</v>
      </c>
      <c r="N220" s="43" t="s">
        <v>48</v>
      </c>
      <c r="O220" s="43"/>
      <c r="P220" s="41" t="s">
        <v>1830</v>
      </c>
      <c r="Q220" s="41" t="s">
        <v>1831</v>
      </c>
      <c r="R220" s="50" t="s">
        <v>1832</v>
      </c>
      <c r="S220" s="38" t="s">
        <v>1833</v>
      </c>
      <c r="T220" s="38" t="s">
        <v>65</v>
      </c>
      <c r="U220" s="38" t="s">
        <v>1834</v>
      </c>
      <c r="V220" s="60">
        <v>42926</v>
      </c>
      <c r="W220" s="41" t="s">
        <v>1835</v>
      </c>
      <c r="X220" s="38" t="s">
        <v>1836</v>
      </c>
      <c r="Y220" s="38" t="s">
        <v>52</v>
      </c>
      <c r="Z220" s="38" t="s">
        <v>454</v>
      </c>
      <c r="AA220" s="38" t="s">
        <v>777</v>
      </c>
      <c r="AB220" s="38" t="s">
        <v>778</v>
      </c>
      <c r="AC220" s="45"/>
      <c r="AD220" s="7"/>
      <c r="AE220" s="7"/>
      <c r="AF220" s="46" t="str">
        <f>IF(R220="","",RIGHT(R220,LEN(R220)-FIND("@",R220)))</f>
        <v>gmail.com</v>
      </c>
      <c r="AG220" s="47">
        <f>LEN(R220)-LEN(SUBSTITUTE(R220," ",""))</f>
        <v>0</v>
      </c>
      <c r="AH220" s="46" t="str">
        <f>SUBSTITUTE(R220," ","")</f>
        <v>gunablack93@gmail.com</v>
      </c>
      <c r="AI220" s="46">
        <f>LEN(AH220)-LEN(SUBSTITUTE(AH220," ",""))</f>
        <v>0</v>
      </c>
    </row>
    <row r="221" spans="1:35" x14ac:dyDescent="0.25">
      <c r="A221" s="36">
        <v>214</v>
      </c>
      <c r="B221" s="37" t="s">
        <v>1837</v>
      </c>
      <c r="C221" s="38" t="s">
        <v>94</v>
      </c>
      <c r="D221" s="39">
        <v>36064</v>
      </c>
      <c r="E221" s="38" t="s">
        <v>40</v>
      </c>
      <c r="F221" s="38" t="s">
        <v>48</v>
      </c>
      <c r="G221" s="38" t="s">
        <v>1838</v>
      </c>
      <c r="H221" s="38" t="s">
        <v>72</v>
      </c>
      <c r="I221" s="38" t="s">
        <v>114</v>
      </c>
      <c r="J221" s="41" t="s">
        <v>1839</v>
      </c>
      <c r="K221" s="41" t="s">
        <v>1840</v>
      </c>
      <c r="L221" s="41"/>
      <c r="M221" s="38" t="s">
        <v>99</v>
      </c>
      <c r="N221" s="41" t="s">
        <v>1841</v>
      </c>
      <c r="O221" s="41" t="s">
        <v>428</v>
      </c>
      <c r="P221" s="41" t="s">
        <v>1842</v>
      </c>
      <c r="Q221" s="41" t="s">
        <v>1843</v>
      </c>
      <c r="R221" s="50" t="s">
        <v>1844</v>
      </c>
      <c r="S221" s="38" t="s">
        <v>1845</v>
      </c>
      <c r="T221" s="38" t="s">
        <v>1846</v>
      </c>
      <c r="U221" s="38" t="s">
        <v>1847</v>
      </c>
      <c r="V221" s="60">
        <v>42926</v>
      </c>
      <c r="W221" s="41" t="s">
        <v>1848</v>
      </c>
      <c r="X221" s="38" t="s">
        <v>1849</v>
      </c>
      <c r="Y221" s="38" t="s">
        <v>52</v>
      </c>
      <c r="Z221" s="38" t="s">
        <v>396</v>
      </c>
      <c r="AA221" s="38" t="s">
        <v>1389</v>
      </c>
      <c r="AB221" s="38" t="s">
        <v>55</v>
      </c>
      <c r="AC221" s="45"/>
      <c r="AD221" s="7"/>
      <c r="AE221" s="7"/>
      <c r="AF221" s="46" t="str">
        <f>IF(R221="","",RIGHT(R221,LEN(R221)-FIND("@",R221)))</f>
        <v>gmail.com</v>
      </c>
      <c r="AG221" s="47">
        <f>LEN(R221)-LEN(SUBSTITUTE(R221," ",""))</f>
        <v>0</v>
      </c>
      <c r="AH221" s="46" t="str">
        <f>SUBSTITUTE(R221," ","")</f>
        <v>kbarimbawa@gmail.com</v>
      </c>
      <c r="AI221" s="46">
        <f>LEN(AH221)-LEN(SUBSTITUTE(AH221," ",""))</f>
        <v>0</v>
      </c>
    </row>
    <row r="222" spans="1:35" x14ac:dyDescent="0.25">
      <c r="A222" s="36">
        <v>215</v>
      </c>
      <c r="B222" s="37" t="s">
        <v>1850</v>
      </c>
      <c r="C222" s="38" t="s">
        <v>548</v>
      </c>
      <c r="D222" s="39">
        <v>32596</v>
      </c>
      <c r="E222" s="38" t="s">
        <v>95</v>
      </c>
      <c r="F222" s="40" t="s">
        <v>48</v>
      </c>
      <c r="G222" s="38" t="s">
        <v>1851</v>
      </c>
      <c r="H222" s="38" t="s">
        <v>113</v>
      </c>
      <c r="I222" s="38" t="s">
        <v>44</v>
      </c>
      <c r="J222" s="41" t="s">
        <v>1852</v>
      </c>
      <c r="K222" s="41" t="s">
        <v>1853</v>
      </c>
      <c r="L222" s="43"/>
      <c r="M222" s="38" t="s">
        <v>99</v>
      </c>
      <c r="N222" s="43" t="s">
        <v>1039</v>
      </c>
      <c r="O222" s="43" t="s">
        <v>76</v>
      </c>
      <c r="P222" s="41" t="s">
        <v>1854</v>
      </c>
      <c r="Q222" s="41" t="s">
        <v>1855</v>
      </c>
      <c r="R222" s="50" t="s">
        <v>1856</v>
      </c>
      <c r="S222" s="38" t="s">
        <v>1857</v>
      </c>
      <c r="T222" s="38" t="s">
        <v>152</v>
      </c>
      <c r="U222" s="38" t="s">
        <v>1858</v>
      </c>
      <c r="V222" s="60">
        <v>42927</v>
      </c>
      <c r="W222" s="43" t="s">
        <v>1859</v>
      </c>
      <c r="X222" s="38" t="s">
        <v>1860</v>
      </c>
      <c r="Y222" s="38" t="s">
        <v>52</v>
      </c>
      <c r="Z222" s="38" t="s">
        <v>396</v>
      </c>
      <c r="AA222" s="38" t="s">
        <v>777</v>
      </c>
      <c r="AB222" s="38" t="s">
        <v>778</v>
      </c>
      <c r="AC222" s="45"/>
      <c r="AD222" s="7"/>
      <c r="AE222" s="7"/>
      <c r="AF222" s="46" t="str">
        <f>IF(R222="","",RIGHT(R222,LEN(R222)-FIND("@",R222)))</f>
        <v>gmail.com</v>
      </c>
      <c r="AG222" s="47">
        <f>LEN(R222)-LEN(SUBSTITUTE(R222," ",""))</f>
        <v>0</v>
      </c>
      <c r="AH222" s="46" t="str">
        <f>SUBSTITUTE(R222," ","")</f>
        <v>mawarniindah123456@gmail.com</v>
      </c>
      <c r="AI222" s="46">
        <f>LEN(AH222)-LEN(SUBSTITUTE(AH222," ",""))</f>
        <v>0</v>
      </c>
    </row>
    <row r="223" spans="1:35" x14ac:dyDescent="0.25">
      <c r="A223" s="36">
        <v>216</v>
      </c>
      <c r="B223" s="37" t="s">
        <v>1861</v>
      </c>
      <c r="C223" s="38" t="s">
        <v>872</v>
      </c>
      <c r="D223" s="39">
        <v>35795</v>
      </c>
      <c r="E223" s="38" t="s">
        <v>40</v>
      </c>
      <c r="F223" s="38" t="s">
        <v>48</v>
      </c>
      <c r="G223" s="38" t="s">
        <v>1862</v>
      </c>
      <c r="H223" s="38" t="s">
        <v>113</v>
      </c>
      <c r="I223" s="38" t="s">
        <v>114</v>
      </c>
      <c r="J223" s="41" t="s">
        <v>1863</v>
      </c>
      <c r="K223" s="41" t="s">
        <v>1864</v>
      </c>
      <c r="L223" s="41"/>
      <c r="M223" s="38" t="s">
        <v>99</v>
      </c>
      <c r="N223" s="43" t="s">
        <v>1865</v>
      </c>
      <c r="O223" s="43" t="s">
        <v>428</v>
      </c>
      <c r="P223" s="41" t="s">
        <v>1866</v>
      </c>
      <c r="Q223" s="41" t="s">
        <v>1867</v>
      </c>
      <c r="R223" s="50" t="s">
        <v>1868</v>
      </c>
      <c r="S223" s="38" t="s">
        <v>1869</v>
      </c>
      <c r="T223" s="38" t="s">
        <v>152</v>
      </c>
      <c r="U223" s="38" t="s">
        <v>1870</v>
      </c>
      <c r="V223" s="60">
        <v>42933</v>
      </c>
      <c r="W223" s="41" t="s">
        <v>1871</v>
      </c>
      <c r="X223" s="38" t="s">
        <v>1872</v>
      </c>
      <c r="Y223" s="38" t="s">
        <v>52</v>
      </c>
      <c r="Z223" s="38" t="s">
        <v>156</v>
      </c>
      <c r="AA223" s="38" t="s">
        <v>125</v>
      </c>
      <c r="AB223" s="38" t="s">
        <v>931</v>
      </c>
      <c r="AC223" s="45"/>
      <c r="AD223" s="7"/>
      <c r="AE223" s="7"/>
      <c r="AF223" s="46" t="str">
        <f>IF(R223="","",RIGHT(R223,LEN(R223)-FIND("@",R223)))</f>
        <v>gmail.com</v>
      </c>
      <c r="AG223" s="47">
        <f>LEN(R223)-LEN(SUBSTITUTE(R223," ",""))</f>
        <v>0</v>
      </c>
      <c r="AH223" s="46" t="str">
        <f>SUBSTITUTE(R223," ","")</f>
        <v>kadriramdhan@gmail.com</v>
      </c>
      <c r="AI223" s="46">
        <f>LEN(AH223)-LEN(SUBSTITUTE(AH223," ",""))</f>
        <v>0</v>
      </c>
    </row>
    <row r="224" spans="1:35" x14ac:dyDescent="0.25">
      <c r="A224" s="36">
        <v>217</v>
      </c>
      <c r="B224" s="53" t="s">
        <v>1873</v>
      </c>
      <c r="C224" s="54" t="s">
        <v>1266</v>
      </c>
      <c r="D224" s="55">
        <v>36090</v>
      </c>
      <c r="E224" s="54" t="s">
        <v>40</v>
      </c>
      <c r="F224" s="53"/>
      <c r="G224" s="54" t="s">
        <v>1874</v>
      </c>
      <c r="H224" s="54"/>
      <c r="I224" s="54"/>
      <c r="J224" s="54" t="s">
        <v>1875</v>
      </c>
      <c r="K224" s="54"/>
      <c r="L224" s="54"/>
      <c r="M224" s="54"/>
      <c r="N224" s="54"/>
      <c r="O224" s="54"/>
      <c r="P224" s="54"/>
      <c r="Q224" s="54" t="s">
        <v>1876</v>
      </c>
      <c r="R224" s="57" t="s">
        <v>74</v>
      </c>
      <c r="S224" s="54" t="s">
        <v>1877</v>
      </c>
      <c r="T224" s="54"/>
      <c r="U224" s="54"/>
      <c r="V224" s="55">
        <v>42933</v>
      </c>
      <c r="W224" s="54"/>
      <c r="X224" s="54"/>
      <c r="Y224" s="54" t="s">
        <v>85</v>
      </c>
      <c r="Z224" s="54"/>
      <c r="AA224" s="54"/>
      <c r="AB224" s="54"/>
      <c r="AC224" s="58">
        <v>43046</v>
      </c>
      <c r="AD224" s="7"/>
      <c r="AE224" s="7"/>
      <c r="AF224" s="46"/>
      <c r="AG224" s="47"/>
      <c r="AH224" s="46"/>
      <c r="AI224" s="46"/>
    </row>
    <row r="225" spans="1:35" x14ac:dyDescent="0.25">
      <c r="A225" s="48">
        <v>218</v>
      </c>
      <c r="B225" s="53" t="s">
        <v>1878</v>
      </c>
      <c r="C225" s="54" t="s">
        <v>1879</v>
      </c>
      <c r="D225" s="55">
        <v>34573</v>
      </c>
      <c r="E225" s="54" t="s">
        <v>40</v>
      </c>
      <c r="F225" s="53"/>
      <c r="G225" s="54" t="s">
        <v>1880</v>
      </c>
      <c r="H225" s="54"/>
      <c r="I225" s="54"/>
      <c r="J225" s="54" t="s">
        <v>1881</v>
      </c>
      <c r="K225" s="54"/>
      <c r="L225" s="54"/>
      <c r="M225" s="54"/>
      <c r="N225" s="54"/>
      <c r="O225" s="54"/>
      <c r="P225" s="54"/>
      <c r="Q225" s="54" t="s">
        <v>1882</v>
      </c>
      <c r="R225" s="57" t="s">
        <v>74</v>
      </c>
      <c r="S225" s="54" t="s">
        <v>1883</v>
      </c>
      <c r="T225" s="54"/>
      <c r="U225" s="54" t="s">
        <v>1884</v>
      </c>
      <c r="V225" s="55">
        <v>42933</v>
      </c>
      <c r="W225" s="54"/>
      <c r="X225" s="54"/>
      <c r="Y225" s="54" t="s">
        <v>85</v>
      </c>
      <c r="Z225" s="54"/>
      <c r="AA225" s="54"/>
      <c r="AB225" s="54"/>
      <c r="AC225" s="58">
        <v>43708</v>
      </c>
      <c r="AD225" s="7"/>
      <c r="AE225" s="7"/>
      <c r="AF225" s="46"/>
      <c r="AG225" s="47"/>
      <c r="AH225" s="46"/>
      <c r="AI225" s="46"/>
    </row>
    <row r="226" spans="1:35" x14ac:dyDescent="0.25">
      <c r="A226" s="36">
        <v>219</v>
      </c>
      <c r="B226" s="37" t="s">
        <v>1885</v>
      </c>
      <c r="C226" s="38" t="s">
        <v>1886</v>
      </c>
      <c r="D226" s="39">
        <v>35634</v>
      </c>
      <c r="E226" s="38" t="s">
        <v>40</v>
      </c>
      <c r="F226" s="38" t="s">
        <v>304</v>
      </c>
      <c r="G226" s="38" t="s">
        <v>1887</v>
      </c>
      <c r="H226" s="38" t="s">
        <v>72</v>
      </c>
      <c r="I226" s="38" t="s">
        <v>114</v>
      </c>
      <c r="J226" s="40" t="s">
        <v>1888</v>
      </c>
      <c r="K226" s="40" t="s">
        <v>1889</v>
      </c>
      <c r="L226" s="40"/>
      <c r="M226" s="38" t="s">
        <v>1890</v>
      </c>
      <c r="N226" s="40" t="s">
        <v>1891</v>
      </c>
      <c r="O226" s="40" t="s">
        <v>164</v>
      </c>
      <c r="P226" s="40" t="s">
        <v>1892</v>
      </c>
      <c r="Q226" s="40" t="s">
        <v>1893</v>
      </c>
      <c r="R226" s="50" t="s">
        <v>1894</v>
      </c>
      <c r="S226" s="38" t="s">
        <v>1895</v>
      </c>
      <c r="T226" s="38" t="s">
        <v>1896</v>
      </c>
      <c r="U226" s="38" t="s">
        <v>1897</v>
      </c>
      <c r="V226" s="60">
        <v>42934</v>
      </c>
      <c r="W226" s="65" t="s">
        <v>1898</v>
      </c>
      <c r="X226" s="38" t="s">
        <v>1899</v>
      </c>
      <c r="Y226" s="38" t="s">
        <v>52</v>
      </c>
      <c r="Z226" s="38" t="s">
        <v>396</v>
      </c>
      <c r="AA226" s="38" t="s">
        <v>397</v>
      </c>
      <c r="AB226" s="38" t="s">
        <v>55</v>
      </c>
      <c r="AC226" s="45"/>
      <c r="AD226" s="7"/>
      <c r="AE226" s="7"/>
      <c r="AF226" s="46"/>
      <c r="AG226" s="47"/>
      <c r="AH226" s="46"/>
      <c r="AI226" s="46"/>
    </row>
    <row r="227" spans="1:35" x14ac:dyDescent="0.25">
      <c r="A227" s="36">
        <v>220</v>
      </c>
      <c r="B227" s="37" t="s">
        <v>1900</v>
      </c>
      <c r="C227" s="38" t="s">
        <v>1901</v>
      </c>
      <c r="D227" s="39">
        <v>34846</v>
      </c>
      <c r="E227" s="38" t="s">
        <v>40</v>
      </c>
      <c r="F227" s="40" t="s">
        <v>48</v>
      </c>
      <c r="G227" s="38" t="s">
        <v>1902</v>
      </c>
      <c r="H227" s="38" t="s">
        <v>72</v>
      </c>
      <c r="I227" s="38" t="s">
        <v>44</v>
      </c>
      <c r="J227" s="41" t="s">
        <v>1903</v>
      </c>
      <c r="K227" s="41" t="s">
        <v>1904</v>
      </c>
      <c r="L227" s="41"/>
      <c r="M227" s="38" t="s">
        <v>133</v>
      </c>
      <c r="N227" s="43" t="s">
        <v>1905</v>
      </c>
      <c r="O227" s="43" t="s">
        <v>428</v>
      </c>
      <c r="P227" s="41" t="s">
        <v>1906</v>
      </c>
      <c r="Q227" s="41" t="s">
        <v>1907</v>
      </c>
      <c r="R227" s="50" t="s">
        <v>1908</v>
      </c>
      <c r="S227" s="38" t="s">
        <v>1909</v>
      </c>
      <c r="T227" s="38" t="s">
        <v>1910</v>
      </c>
      <c r="U227" s="38" t="s">
        <v>1911</v>
      </c>
      <c r="V227" s="60">
        <v>42935</v>
      </c>
      <c r="W227" s="41" t="s">
        <v>1912</v>
      </c>
      <c r="X227" s="38" t="s">
        <v>1913</v>
      </c>
      <c r="Y227" s="38" t="s">
        <v>52</v>
      </c>
      <c r="Z227" s="38" t="s">
        <v>156</v>
      </c>
      <c r="AA227" s="38" t="s">
        <v>125</v>
      </c>
      <c r="AB227" s="38" t="s">
        <v>467</v>
      </c>
      <c r="AC227" s="45"/>
      <c r="AD227" s="7"/>
      <c r="AE227" s="7"/>
      <c r="AF227" s="46" t="str">
        <f>IF(R227="","",RIGHT(R227,LEN(R227)-FIND("@",R227)))</f>
        <v>gmail.com</v>
      </c>
      <c r="AG227" s="47">
        <f>LEN(R227)-LEN(SUBSTITUTE(R227," ",""))</f>
        <v>0</v>
      </c>
      <c r="AH227" s="46" t="str">
        <f>SUBSTITUTE(R227," ","")</f>
        <v>wirawansudewa6@gmail.com</v>
      </c>
      <c r="AI227" s="46">
        <f>LEN(AH227)-LEN(SUBSTITUTE(AH227," ",""))</f>
        <v>0</v>
      </c>
    </row>
    <row r="228" spans="1:35" x14ac:dyDescent="0.25">
      <c r="A228" s="36">
        <v>221</v>
      </c>
      <c r="B228" s="53" t="s">
        <v>1914</v>
      </c>
      <c r="C228" s="54" t="s">
        <v>1102</v>
      </c>
      <c r="D228" s="55">
        <v>34061</v>
      </c>
      <c r="E228" s="54" t="s">
        <v>40</v>
      </c>
      <c r="F228" s="53"/>
      <c r="G228" s="54" t="s">
        <v>1915</v>
      </c>
      <c r="H228" s="54"/>
      <c r="I228" s="54"/>
      <c r="J228" s="54" t="s">
        <v>1916</v>
      </c>
      <c r="K228" s="54"/>
      <c r="L228" s="54"/>
      <c r="M228" s="54"/>
      <c r="N228" s="54"/>
      <c r="O228" s="54"/>
      <c r="P228" s="54"/>
      <c r="Q228" s="54" t="s">
        <v>1917</v>
      </c>
      <c r="R228" s="57" t="s">
        <v>74</v>
      </c>
      <c r="S228" s="54" t="s">
        <v>1377</v>
      </c>
      <c r="T228" s="54"/>
      <c r="U228" s="54"/>
      <c r="V228" s="55">
        <v>42935</v>
      </c>
      <c r="W228" s="54"/>
      <c r="X228" s="54"/>
      <c r="Y228" s="54" t="s">
        <v>85</v>
      </c>
      <c r="Z228" s="54"/>
      <c r="AA228" s="54"/>
      <c r="AB228" s="54"/>
      <c r="AC228" s="58">
        <v>43020</v>
      </c>
      <c r="AD228" s="7"/>
      <c r="AE228" s="7"/>
      <c r="AF228" s="46" t="str">
        <f>IF(R228="","",RIGHT(R228,LEN(R228)-FIND("@",R228)))</f>
        <v/>
      </c>
      <c r="AG228" s="47">
        <f>LEN(R228)-LEN(SUBSTITUTE(R228," ",""))</f>
        <v>0</v>
      </c>
      <c r="AH228" s="46" t="str">
        <f>SUBSTITUTE(R228," ","")</f>
        <v/>
      </c>
      <c r="AI228" s="46">
        <f>LEN(AH228)-LEN(SUBSTITUTE(AH228," ",""))</f>
        <v>0</v>
      </c>
    </row>
    <row r="229" spans="1:35" x14ac:dyDescent="0.25">
      <c r="A229" s="36">
        <v>222</v>
      </c>
      <c r="B229" s="53" t="s">
        <v>1918</v>
      </c>
      <c r="C229" s="54" t="s">
        <v>1266</v>
      </c>
      <c r="D229" s="55">
        <v>35335</v>
      </c>
      <c r="E229" s="54" t="s">
        <v>40</v>
      </c>
      <c r="F229" s="53"/>
      <c r="G229" s="54" t="s">
        <v>1919</v>
      </c>
      <c r="H229" s="54"/>
      <c r="I229" s="54"/>
      <c r="J229" s="54" t="s">
        <v>1920</v>
      </c>
      <c r="K229" s="54"/>
      <c r="L229" s="56"/>
      <c r="M229" s="54"/>
      <c r="N229" s="54"/>
      <c r="O229" s="54"/>
      <c r="P229" s="54"/>
      <c r="Q229" s="54" t="s">
        <v>1921</v>
      </c>
      <c r="R229" s="57" t="s">
        <v>74</v>
      </c>
      <c r="S229" s="54" t="s">
        <v>1922</v>
      </c>
      <c r="T229" s="54"/>
      <c r="U229" s="54" t="s">
        <v>1923</v>
      </c>
      <c r="V229" s="55">
        <v>42935</v>
      </c>
      <c r="W229" s="54"/>
      <c r="X229" s="54"/>
      <c r="Y229" s="54" t="s">
        <v>85</v>
      </c>
      <c r="Z229" s="54"/>
      <c r="AA229" s="54"/>
      <c r="AB229" s="54"/>
      <c r="AC229" s="58">
        <v>43770</v>
      </c>
      <c r="AD229" s="7"/>
      <c r="AE229" s="7"/>
      <c r="AF229" s="46"/>
      <c r="AG229" s="47"/>
      <c r="AH229" s="46"/>
      <c r="AI229" s="46"/>
    </row>
    <row r="230" spans="1:35" x14ac:dyDescent="0.25">
      <c r="A230" s="36">
        <v>223</v>
      </c>
      <c r="B230" s="37" t="s">
        <v>1924</v>
      </c>
      <c r="C230" s="38" t="s">
        <v>1925</v>
      </c>
      <c r="D230" s="39">
        <v>35829</v>
      </c>
      <c r="E230" s="38" t="s">
        <v>40</v>
      </c>
      <c r="F230" s="38" t="s">
        <v>48</v>
      </c>
      <c r="G230" s="38" t="s">
        <v>1926</v>
      </c>
      <c r="H230" s="38" t="s">
        <v>72</v>
      </c>
      <c r="I230" s="38" t="s">
        <v>114</v>
      </c>
      <c r="J230" s="38" t="s">
        <v>1927</v>
      </c>
      <c r="K230" s="38" t="s">
        <v>1928</v>
      </c>
      <c r="L230" s="38"/>
      <c r="M230" s="38" t="s">
        <v>99</v>
      </c>
      <c r="N230" s="43" t="s">
        <v>1929</v>
      </c>
      <c r="O230" s="43" t="s">
        <v>76</v>
      </c>
      <c r="P230" s="38" t="s">
        <v>1930</v>
      </c>
      <c r="Q230" s="38" t="s">
        <v>1931</v>
      </c>
      <c r="R230" s="50" t="s">
        <v>1932</v>
      </c>
      <c r="S230" s="38" t="s">
        <v>1933</v>
      </c>
      <c r="T230" s="38" t="s">
        <v>1934</v>
      </c>
      <c r="U230" s="38" t="s">
        <v>1935</v>
      </c>
      <c r="V230" s="60">
        <v>44036</v>
      </c>
      <c r="W230" s="41" t="s">
        <v>1936</v>
      </c>
      <c r="X230" s="38">
        <v>1226</v>
      </c>
      <c r="Y230" s="38" t="s">
        <v>52</v>
      </c>
      <c r="Z230" s="38" t="s">
        <v>1937</v>
      </c>
      <c r="AA230" s="38" t="s">
        <v>1640</v>
      </c>
      <c r="AB230" s="38" t="s">
        <v>55</v>
      </c>
      <c r="AC230" s="45"/>
      <c r="AD230" s="7"/>
      <c r="AE230" s="7"/>
      <c r="AF230" s="46"/>
      <c r="AG230" s="47"/>
      <c r="AH230" s="46"/>
      <c r="AI230" s="46"/>
    </row>
    <row r="231" spans="1:35" x14ac:dyDescent="0.25">
      <c r="A231" s="48">
        <v>224</v>
      </c>
      <c r="B231" s="37" t="s">
        <v>1938</v>
      </c>
      <c r="C231" s="38" t="s">
        <v>1939</v>
      </c>
      <c r="D231" s="39">
        <v>36031</v>
      </c>
      <c r="E231" s="38" t="s">
        <v>40</v>
      </c>
      <c r="F231" s="40" t="s">
        <v>48</v>
      </c>
      <c r="G231" s="38" t="s">
        <v>1940</v>
      </c>
      <c r="H231" s="38" t="s">
        <v>72</v>
      </c>
      <c r="I231" s="38" t="s">
        <v>114</v>
      </c>
      <c r="J231" s="41" t="s">
        <v>1941</v>
      </c>
      <c r="K231" s="41" t="s">
        <v>1942</v>
      </c>
      <c r="L231" s="43"/>
      <c r="M231" s="38" t="s">
        <v>99</v>
      </c>
      <c r="N231" s="41" t="s">
        <v>1943</v>
      </c>
      <c r="O231" s="41" t="s">
        <v>428</v>
      </c>
      <c r="P231" s="41" t="s">
        <v>1944</v>
      </c>
      <c r="Q231" s="41" t="s">
        <v>1945</v>
      </c>
      <c r="R231" s="50" t="s">
        <v>1946</v>
      </c>
      <c r="S231" s="38" t="s">
        <v>990</v>
      </c>
      <c r="T231" s="38" t="s">
        <v>1947</v>
      </c>
      <c r="U231" s="40" t="s">
        <v>1948</v>
      </c>
      <c r="V231" s="60">
        <v>42941</v>
      </c>
      <c r="W231" s="41" t="s">
        <v>1949</v>
      </c>
      <c r="X231" s="38" t="s">
        <v>1950</v>
      </c>
      <c r="Y231" s="38" t="s">
        <v>52</v>
      </c>
      <c r="Z231" s="38" t="s">
        <v>416</v>
      </c>
      <c r="AA231" s="38" t="s">
        <v>125</v>
      </c>
      <c r="AB231" s="38" t="s">
        <v>994</v>
      </c>
      <c r="AC231" s="45"/>
      <c r="AD231" s="7"/>
      <c r="AE231" s="7"/>
      <c r="AF231" s="46" t="str">
        <f>IF(R231="","",RIGHT(R231,LEN(R231)-FIND("@",R231)))</f>
        <v>gmail.com</v>
      </c>
      <c r="AG231" s="47">
        <f>LEN(R231)-LEN(SUBSTITUTE(R231," ",""))</f>
        <v>0</v>
      </c>
      <c r="AH231" s="46" t="str">
        <f>SUBSTITUTE(R231," ","")</f>
        <v>sudarta761@gmail.com</v>
      </c>
      <c r="AI231" s="46">
        <f>LEN(AH231)-LEN(SUBSTITUTE(AH231," ",""))</f>
        <v>0</v>
      </c>
    </row>
    <row r="232" spans="1:35" x14ac:dyDescent="0.25">
      <c r="A232" s="36">
        <v>225</v>
      </c>
      <c r="B232" s="53" t="s">
        <v>1951</v>
      </c>
      <c r="C232" s="54" t="s">
        <v>1952</v>
      </c>
      <c r="D232" s="55">
        <v>33417</v>
      </c>
      <c r="E232" s="54" t="s">
        <v>40</v>
      </c>
      <c r="F232" s="53"/>
      <c r="G232" s="54" t="s">
        <v>1953</v>
      </c>
      <c r="H232" s="54"/>
      <c r="I232" s="54"/>
      <c r="J232" s="54" t="s">
        <v>1954</v>
      </c>
      <c r="K232" s="54"/>
      <c r="L232" s="54"/>
      <c r="M232" s="54"/>
      <c r="N232" s="54"/>
      <c r="O232" s="54"/>
      <c r="P232" s="54"/>
      <c r="Q232" s="54" t="s">
        <v>1955</v>
      </c>
      <c r="R232" s="57" t="s">
        <v>74</v>
      </c>
      <c r="S232" s="54" t="s">
        <v>1956</v>
      </c>
      <c r="T232" s="54"/>
      <c r="U232" s="54"/>
      <c r="V232" s="55">
        <v>42941</v>
      </c>
      <c r="W232" s="54"/>
      <c r="X232" s="54"/>
      <c r="Y232" s="54" t="s">
        <v>85</v>
      </c>
      <c r="Z232" s="54"/>
      <c r="AA232" s="54"/>
      <c r="AB232" s="54"/>
      <c r="AC232" s="58">
        <v>42981</v>
      </c>
      <c r="AD232" s="7"/>
      <c r="AE232" s="7"/>
      <c r="AF232" s="46"/>
      <c r="AG232" s="47"/>
      <c r="AH232" s="46"/>
      <c r="AI232" s="46"/>
    </row>
    <row r="233" spans="1:35" x14ac:dyDescent="0.25">
      <c r="A233" s="36">
        <v>226</v>
      </c>
      <c r="B233" s="53" t="s">
        <v>1957</v>
      </c>
      <c r="C233" s="54" t="s">
        <v>1958</v>
      </c>
      <c r="D233" s="55">
        <v>32310</v>
      </c>
      <c r="E233" s="54" t="s">
        <v>40</v>
      </c>
      <c r="F233" s="53"/>
      <c r="G233" s="54" t="s">
        <v>358</v>
      </c>
      <c r="H233" s="54"/>
      <c r="I233" s="54"/>
      <c r="J233" s="54" t="s">
        <v>1959</v>
      </c>
      <c r="K233" s="54"/>
      <c r="L233" s="54"/>
      <c r="M233" s="54"/>
      <c r="N233" s="54"/>
      <c r="O233" s="54"/>
      <c r="P233" s="54"/>
      <c r="Q233" s="54" t="s">
        <v>1960</v>
      </c>
      <c r="R233" s="57" t="s">
        <v>74</v>
      </c>
      <c r="S233" s="54" t="s">
        <v>1961</v>
      </c>
      <c r="T233" s="54"/>
      <c r="U233" s="54"/>
      <c r="V233" s="55">
        <v>42944</v>
      </c>
      <c r="W233" s="54"/>
      <c r="X233" s="54"/>
      <c r="Y233" s="54" t="s">
        <v>85</v>
      </c>
      <c r="Z233" s="54"/>
      <c r="AA233" s="54"/>
      <c r="AB233" s="54"/>
      <c r="AC233" s="58">
        <v>43002</v>
      </c>
      <c r="AD233" s="7"/>
      <c r="AE233" s="7"/>
      <c r="AF233" s="46"/>
      <c r="AG233" s="47"/>
      <c r="AH233" s="46"/>
      <c r="AI233" s="46"/>
    </row>
    <row r="234" spans="1:35" x14ac:dyDescent="0.25">
      <c r="A234" s="36">
        <v>227</v>
      </c>
      <c r="B234" s="53" t="s">
        <v>1962</v>
      </c>
      <c r="C234" s="54" t="s">
        <v>816</v>
      </c>
      <c r="D234" s="55">
        <v>34897</v>
      </c>
      <c r="E234" s="54" t="s">
        <v>40</v>
      </c>
      <c r="F234" s="53"/>
      <c r="G234" s="54" t="s">
        <v>1963</v>
      </c>
      <c r="H234" s="54"/>
      <c r="I234" s="54"/>
      <c r="J234" s="54" t="s">
        <v>1964</v>
      </c>
      <c r="K234" s="54"/>
      <c r="L234" s="56"/>
      <c r="M234" s="54"/>
      <c r="N234" s="54"/>
      <c r="O234" s="54"/>
      <c r="P234" s="54"/>
      <c r="Q234" s="54" t="s">
        <v>1965</v>
      </c>
      <c r="R234" s="57" t="s">
        <v>74</v>
      </c>
      <c r="S234" s="54" t="s">
        <v>1966</v>
      </c>
      <c r="T234" s="54"/>
      <c r="U234" s="54"/>
      <c r="V234" s="55">
        <v>42947</v>
      </c>
      <c r="W234" s="54"/>
      <c r="X234" s="54"/>
      <c r="Y234" s="54" t="s">
        <v>85</v>
      </c>
      <c r="Z234" s="54"/>
      <c r="AA234" s="54"/>
      <c r="AB234" s="54"/>
      <c r="AC234" s="58">
        <v>43260</v>
      </c>
      <c r="AD234" s="7"/>
      <c r="AE234" s="7"/>
      <c r="AF234" s="46"/>
      <c r="AG234" s="47"/>
      <c r="AH234" s="46"/>
      <c r="AI234" s="46"/>
    </row>
    <row r="235" spans="1:35" x14ac:dyDescent="0.25">
      <c r="A235" s="36">
        <v>228</v>
      </c>
      <c r="B235" s="53" t="s">
        <v>1967</v>
      </c>
      <c r="C235" s="54" t="s">
        <v>1968</v>
      </c>
      <c r="D235" s="55">
        <v>27784</v>
      </c>
      <c r="E235" s="54" t="s">
        <v>95</v>
      </c>
      <c r="F235" s="53"/>
      <c r="G235" s="54" t="s">
        <v>1969</v>
      </c>
      <c r="H235" s="54"/>
      <c r="I235" s="54"/>
      <c r="J235" s="54" t="s">
        <v>1970</v>
      </c>
      <c r="K235" s="54"/>
      <c r="L235" s="54"/>
      <c r="M235" s="54" t="s">
        <v>99</v>
      </c>
      <c r="N235" s="54"/>
      <c r="O235" s="54"/>
      <c r="P235" s="54"/>
      <c r="Q235" s="54" t="s">
        <v>1971</v>
      </c>
      <c r="R235" s="57" t="s">
        <v>74</v>
      </c>
      <c r="S235" s="54" t="s">
        <v>1972</v>
      </c>
      <c r="T235" s="54"/>
      <c r="U235" s="54" t="s">
        <v>1973</v>
      </c>
      <c r="V235" s="55">
        <v>42948</v>
      </c>
      <c r="W235" s="54"/>
      <c r="X235" s="54"/>
      <c r="Y235" s="54" t="s">
        <v>85</v>
      </c>
      <c r="Z235" s="54"/>
      <c r="AA235" s="54"/>
      <c r="AB235" s="54"/>
      <c r="AC235" s="58">
        <v>43525</v>
      </c>
      <c r="AD235" s="7"/>
      <c r="AE235" s="7"/>
      <c r="AF235" s="46"/>
      <c r="AG235" s="47"/>
      <c r="AH235" s="46"/>
      <c r="AI235" s="46"/>
    </row>
    <row r="236" spans="1:35" x14ac:dyDescent="0.25">
      <c r="A236" s="36">
        <v>229</v>
      </c>
      <c r="B236" s="37" t="s">
        <v>1974</v>
      </c>
      <c r="C236" s="38" t="s">
        <v>328</v>
      </c>
      <c r="D236" s="39">
        <v>36211</v>
      </c>
      <c r="E236" s="38" t="s">
        <v>40</v>
      </c>
      <c r="F236" s="40" t="s">
        <v>48</v>
      </c>
      <c r="G236" s="38" t="s">
        <v>1975</v>
      </c>
      <c r="H236" s="38" t="s">
        <v>113</v>
      </c>
      <c r="I236" s="38" t="s">
        <v>114</v>
      </c>
      <c r="J236" s="41" t="s">
        <v>1976</v>
      </c>
      <c r="K236" s="41" t="s">
        <v>1977</v>
      </c>
      <c r="L236" s="43"/>
      <c r="M236" s="38" t="s">
        <v>99</v>
      </c>
      <c r="N236" s="43" t="s">
        <v>48</v>
      </c>
      <c r="O236" s="43"/>
      <c r="P236" s="41" t="s">
        <v>1978</v>
      </c>
      <c r="Q236" s="41" t="s">
        <v>1979</v>
      </c>
      <c r="R236" s="50" t="s">
        <v>1980</v>
      </c>
      <c r="S236" s="38" t="s">
        <v>1981</v>
      </c>
      <c r="T236" s="38" t="s">
        <v>189</v>
      </c>
      <c r="U236" s="38" t="s">
        <v>1982</v>
      </c>
      <c r="V236" s="60">
        <v>42961</v>
      </c>
      <c r="W236" s="41" t="s">
        <v>1983</v>
      </c>
      <c r="X236" s="38" t="s">
        <v>1984</v>
      </c>
      <c r="Y236" s="38" t="s">
        <v>52</v>
      </c>
      <c r="Z236" s="38" t="s">
        <v>1315</v>
      </c>
      <c r="AA236" s="38" t="s">
        <v>777</v>
      </c>
      <c r="AB236" s="38" t="s">
        <v>778</v>
      </c>
      <c r="AC236" s="45"/>
      <c r="AD236" s="7"/>
      <c r="AE236" s="7"/>
      <c r="AF236" s="46"/>
      <c r="AG236" s="47"/>
      <c r="AH236" s="46"/>
      <c r="AI236" s="46"/>
    </row>
    <row r="237" spans="1:35" x14ac:dyDescent="0.25">
      <c r="A237" s="48">
        <v>230</v>
      </c>
      <c r="B237" s="53" t="s">
        <v>1985</v>
      </c>
      <c r="C237" s="54" t="s">
        <v>912</v>
      </c>
      <c r="D237" s="55">
        <v>35251</v>
      </c>
      <c r="E237" s="54" t="s">
        <v>40</v>
      </c>
      <c r="F237" s="53"/>
      <c r="G237" s="54" t="s">
        <v>1986</v>
      </c>
      <c r="H237" s="54"/>
      <c r="I237" s="54"/>
      <c r="J237" s="54" t="s">
        <v>1987</v>
      </c>
      <c r="K237" s="54"/>
      <c r="L237" s="54"/>
      <c r="M237" s="54"/>
      <c r="N237" s="54"/>
      <c r="O237" s="54"/>
      <c r="P237" s="54"/>
      <c r="Q237" s="54" t="s">
        <v>1988</v>
      </c>
      <c r="R237" s="57" t="s">
        <v>74</v>
      </c>
      <c r="S237" s="54" t="s">
        <v>1989</v>
      </c>
      <c r="T237" s="54"/>
      <c r="U237" s="54"/>
      <c r="V237" s="55">
        <v>42961</v>
      </c>
      <c r="W237" s="54"/>
      <c r="X237" s="54"/>
      <c r="Y237" s="54" t="s">
        <v>85</v>
      </c>
      <c r="Z237" s="54"/>
      <c r="AA237" s="54"/>
      <c r="AB237" s="54"/>
      <c r="AC237" s="58">
        <v>43040</v>
      </c>
      <c r="AD237" s="7"/>
      <c r="AE237" s="7"/>
      <c r="AF237" s="46"/>
      <c r="AG237" s="47"/>
      <c r="AH237" s="46"/>
      <c r="AI237" s="46"/>
    </row>
    <row r="238" spans="1:35" x14ac:dyDescent="0.25">
      <c r="A238" s="36">
        <v>231</v>
      </c>
      <c r="B238" s="53" t="s">
        <v>1990</v>
      </c>
      <c r="C238" s="54" t="s">
        <v>1991</v>
      </c>
      <c r="D238" s="55">
        <v>34888</v>
      </c>
      <c r="E238" s="54" t="s">
        <v>40</v>
      </c>
      <c r="F238" s="53"/>
      <c r="G238" s="54" t="s">
        <v>1992</v>
      </c>
      <c r="H238" s="54"/>
      <c r="I238" s="54"/>
      <c r="J238" s="54" t="s">
        <v>1993</v>
      </c>
      <c r="K238" s="54"/>
      <c r="L238" s="54"/>
      <c r="M238" s="54"/>
      <c r="N238" s="54"/>
      <c r="O238" s="54"/>
      <c r="P238" s="54"/>
      <c r="Q238" s="54" t="s">
        <v>1994</v>
      </c>
      <c r="R238" s="57" t="s">
        <v>74</v>
      </c>
      <c r="S238" s="54" t="s">
        <v>1995</v>
      </c>
      <c r="T238" s="54"/>
      <c r="U238" s="54"/>
      <c r="V238" s="55">
        <v>42962</v>
      </c>
      <c r="W238" s="54"/>
      <c r="X238" s="54"/>
      <c r="Y238" s="54" t="s">
        <v>85</v>
      </c>
      <c r="Z238" s="54"/>
      <c r="AA238" s="54"/>
      <c r="AB238" s="54"/>
      <c r="AC238" s="58">
        <v>43166</v>
      </c>
      <c r="AD238" s="7"/>
      <c r="AE238" s="7"/>
      <c r="AF238" s="46" t="str">
        <f>IF(R238="","",RIGHT(R238,LEN(R238)-FIND("@",R238)))</f>
        <v/>
      </c>
      <c r="AG238" s="47">
        <f>LEN(R238)-LEN(SUBSTITUTE(R238," ",""))</f>
        <v>0</v>
      </c>
      <c r="AH238" s="46" t="str">
        <f>SUBSTITUTE(R238," ","")</f>
        <v/>
      </c>
      <c r="AI238" s="46">
        <f>LEN(AH238)-LEN(SUBSTITUTE(AH238," ",""))</f>
        <v>0</v>
      </c>
    </row>
    <row r="239" spans="1:35" x14ac:dyDescent="0.25">
      <c r="A239" s="36">
        <v>232</v>
      </c>
      <c r="B239" s="53" t="s">
        <v>1996</v>
      </c>
      <c r="C239" s="54" t="s">
        <v>1266</v>
      </c>
      <c r="D239" s="55">
        <v>32643</v>
      </c>
      <c r="E239" s="54" t="s">
        <v>40</v>
      </c>
      <c r="F239" s="53"/>
      <c r="G239" s="54" t="s">
        <v>1997</v>
      </c>
      <c r="H239" s="54"/>
      <c r="I239" s="54"/>
      <c r="J239" s="54" t="s">
        <v>1998</v>
      </c>
      <c r="K239" s="54"/>
      <c r="L239" s="54"/>
      <c r="M239" s="54"/>
      <c r="N239" s="54"/>
      <c r="O239" s="54"/>
      <c r="P239" s="54"/>
      <c r="Q239" s="54" t="s">
        <v>1999</v>
      </c>
      <c r="R239" s="57" t="s">
        <v>74</v>
      </c>
      <c r="S239" s="54" t="s">
        <v>1997</v>
      </c>
      <c r="T239" s="54"/>
      <c r="U239" s="54"/>
      <c r="V239" s="55">
        <v>42963</v>
      </c>
      <c r="W239" s="54"/>
      <c r="X239" s="54"/>
      <c r="Y239" s="54" t="s">
        <v>85</v>
      </c>
      <c r="Z239" s="54"/>
      <c r="AA239" s="54"/>
      <c r="AB239" s="54"/>
      <c r="AC239" s="58">
        <v>43147</v>
      </c>
      <c r="AD239" s="7"/>
      <c r="AE239" s="7"/>
      <c r="AF239" s="46" t="str">
        <f>IF(R239="","",RIGHT(R239,LEN(R239)-FIND("@",R239)))</f>
        <v/>
      </c>
      <c r="AG239" s="47">
        <f>LEN(R239)-LEN(SUBSTITUTE(R239," ",""))</f>
        <v>0</v>
      </c>
      <c r="AH239" s="46" t="str">
        <f>SUBSTITUTE(R239," ","")</f>
        <v/>
      </c>
      <c r="AI239" s="46">
        <f>LEN(AH239)-LEN(SUBSTITUTE(AH239," ",""))</f>
        <v>0</v>
      </c>
    </row>
    <row r="240" spans="1:35" x14ac:dyDescent="0.25">
      <c r="A240" s="36">
        <v>233</v>
      </c>
      <c r="B240" s="53" t="s">
        <v>2000</v>
      </c>
      <c r="C240" s="54" t="s">
        <v>2001</v>
      </c>
      <c r="D240" s="55">
        <v>34828</v>
      </c>
      <c r="E240" s="54" t="s">
        <v>40</v>
      </c>
      <c r="F240" s="53"/>
      <c r="G240" s="54" t="s">
        <v>2002</v>
      </c>
      <c r="H240" s="54"/>
      <c r="I240" s="54"/>
      <c r="J240" s="54" t="s">
        <v>2003</v>
      </c>
      <c r="K240" s="54"/>
      <c r="L240" s="54"/>
      <c r="M240" s="54"/>
      <c r="N240" s="54"/>
      <c r="O240" s="54"/>
      <c r="P240" s="54"/>
      <c r="Q240" s="54" t="s">
        <v>2004</v>
      </c>
      <c r="R240" s="57" t="s">
        <v>74</v>
      </c>
      <c r="S240" s="54" t="s">
        <v>2005</v>
      </c>
      <c r="T240" s="54"/>
      <c r="U240" s="54"/>
      <c r="V240" s="55">
        <v>42968</v>
      </c>
      <c r="W240" s="54"/>
      <c r="X240" s="54"/>
      <c r="Y240" s="54" t="s">
        <v>85</v>
      </c>
      <c r="Z240" s="54"/>
      <c r="AA240" s="54"/>
      <c r="AB240" s="54"/>
      <c r="AC240" s="58">
        <v>43040</v>
      </c>
      <c r="AD240" s="7"/>
      <c r="AE240" s="7"/>
      <c r="AF240" s="46" t="str">
        <f>IF(R240="","",RIGHT(R240,LEN(R240)-FIND("@",R240)))</f>
        <v/>
      </c>
      <c r="AG240" s="47">
        <f>LEN(R240)-LEN(SUBSTITUTE(R240," ",""))</f>
        <v>0</v>
      </c>
      <c r="AH240" s="46" t="str">
        <f>SUBSTITUTE(R240," ","")</f>
        <v/>
      </c>
      <c r="AI240" s="46">
        <f>LEN(AH240)-LEN(SUBSTITUTE(AH240," ",""))</f>
        <v>0</v>
      </c>
    </row>
    <row r="241" spans="1:35" x14ac:dyDescent="0.25">
      <c r="A241" s="36">
        <v>234</v>
      </c>
      <c r="B241" s="53" t="s">
        <v>2006</v>
      </c>
      <c r="C241" s="54" t="s">
        <v>912</v>
      </c>
      <c r="D241" s="55">
        <v>36006</v>
      </c>
      <c r="E241" s="54" t="s">
        <v>40</v>
      </c>
      <c r="F241" s="53"/>
      <c r="G241" s="54" t="s">
        <v>2007</v>
      </c>
      <c r="H241" s="54"/>
      <c r="I241" s="54"/>
      <c r="J241" s="54" t="s">
        <v>2008</v>
      </c>
      <c r="K241" s="54"/>
      <c r="L241" s="56"/>
      <c r="M241" s="54"/>
      <c r="N241" s="54"/>
      <c r="O241" s="54"/>
      <c r="P241" s="54"/>
      <c r="Q241" s="54" t="s">
        <v>2009</v>
      </c>
      <c r="R241" s="57" t="s">
        <v>74</v>
      </c>
      <c r="S241" s="54" t="s">
        <v>2010</v>
      </c>
      <c r="T241" s="54"/>
      <c r="U241" s="54" t="s">
        <v>2011</v>
      </c>
      <c r="V241" s="55">
        <v>42968</v>
      </c>
      <c r="W241" s="54"/>
      <c r="X241" s="54"/>
      <c r="Y241" s="54" t="s">
        <v>85</v>
      </c>
      <c r="Z241" s="54"/>
      <c r="AA241" s="54"/>
      <c r="AB241" s="54"/>
      <c r="AC241" s="58">
        <v>43739</v>
      </c>
      <c r="AD241" s="7"/>
      <c r="AE241" s="7"/>
      <c r="AF241" s="46" t="str">
        <f>IF(R241="","",RIGHT(R241,LEN(R241)-FIND("@",R241)))</f>
        <v/>
      </c>
      <c r="AG241" s="47">
        <f>LEN(R241)-LEN(SUBSTITUTE(R241," ",""))</f>
        <v>0</v>
      </c>
      <c r="AH241" s="46" t="str">
        <f>SUBSTITUTE(R241," ","")</f>
        <v/>
      </c>
      <c r="AI241" s="46">
        <f>LEN(AH241)-LEN(SUBSTITUTE(AH241," ",""))</f>
        <v>0</v>
      </c>
    </row>
    <row r="242" spans="1:35" x14ac:dyDescent="0.25">
      <c r="A242" s="36">
        <v>235</v>
      </c>
      <c r="B242" s="53" t="s">
        <v>2012</v>
      </c>
      <c r="C242" s="54" t="s">
        <v>2013</v>
      </c>
      <c r="D242" s="55">
        <v>34410</v>
      </c>
      <c r="E242" s="54" t="s">
        <v>40</v>
      </c>
      <c r="F242" s="53"/>
      <c r="G242" s="54" t="s">
        <v>2014</v>
      </c>
      <c r="H242" s="54"/>
      <c r="I242" s="54"/>
      <c r="J242" s="54" t="s">
        <v>2015</v>
      </c>
      <c r="K242" s="54"/>
      <c r="L242" s="54"/>
      <c r="M242" s="54"/>
      <c r="N242" s="54"/>
      <c r="O242" s="54"/>
      <c r="P242" s="54"/>
      <c r="Q242" s="54" t="s">
        <v>2016</v>
      </c>
      <c r="R242" s="57" t="s">
        <v>74</v>
      </c>
      <c r="S242" s="54" t="s">
        <v>2017</v>
      </c>
      <c r="T242" s="54"/>
      <c r="U242" s="54"/>
      <c r="V242" s="55">
        <v>42972</v>
      </c>
      <c r="W242" s="54"/>
      <c r="X242" s="54"/>
      <c r="Y242" s="54" t="s">
        <v>85</v>
      </c>
      <c r="Z242" s="54"/>
      <c r="AA242" s="54"/>
      <c r="AB242" s="54"/>
      <c r="AC242" s="58">
        <v>43009</v>
      </c>
      <c r="AD242" s="7"/>
      <c r="AE242" s="7"/>
      <c r="AF242" s="46"/>
      <c r="AG242" s="47"/>
      <c r="AH242" s="46"/>
      <c r="AI242" s="46"/>
    </row>
    <row r="243" spans="1:35" x14ac:dyDescent="0.25">
      <c r="A243" s="48">
        <v>236</v>
      </c>
      <c r="B243" s="53" t="s">
        <v>2018</v>
      </c>
      <c r="C243" s="54" t="s">
        <v>2019</v>
      </c>
      <c r="D243" s="55">
        <v>35910</v>
      </c>
      <c r="E243" s="54" t="s">
        <v>40</v>
      </c>
      <c r="F243" s="53"/>
      <c r="G243" s="54" t="s">
        <v>2020</v>
      </c>
      <c r="H243" s="54"/>
      <c r="I243" s="54"/>
      <c r="J243" s="54" t="s">
        <v>2021</v>
      </c>
      <c r="K243" s="54"/>
      <c r="L243" s="54"/>
      <c r="M243" s="54"/>
      <c r="N243" s="54"/>
      <c r="O243" s="54"/>
      <c r="P243" s="54"/>
      <c r="Q243" s="54" t="s">
        <v>2022</v>
      </c>
      <c r="R243" s="57" t="s">
        <v>74</v>
      </c>
      <c r="S243" s="54" t="s">
        <v>2023</v>
      </c>
      <c r="T243" s="54"/>
      <c r="U243" s="54"/>
      <c r="V243" s="55">
        <v>42977</v>
      </c>
      <c r="W243" s="54"/>
      <c r="X243" s="54"/>
      <c r="Y243" s="54" t="s">
        <v>85</v>
      </c>
      <c r="Z243" s="54"/>
      <c r="AA243" s="54"/>
      <c r="AB243" s="54"/>
      <c r="AC243" s="58">
        <v>43054</v>
      </c>
      <c r="AD243" s="7"/>
      <c r="AE243" s="78"/>
      <c r="AF243" s="79"/>
      <c r="AG243" s="80"/>
      <c r="AH243" s="79"/>
      <c r="AI243" s="79"/>
    </row>
    <row r="244" spans="1:35" x14ac:dyDescent="0.25">
      <c r="A244" s="36">
        <v>237</v>
      </c>
      <c r="B244" s="53" t="s">
        <v>2024</v>
      </c>
      <c r="C244" s="54" t="s">
        <v>94</v>
      </c>
      <c r="D244" s="55">
        <v>34063</v>
      </c>
      <c r="E244" s="54" t="s">
        <v>95</v>
      </c>
      <c r="F244" s="53"/>
      <c r="G244" s="54" t="s">
        <v>2025</v>
      </c>
      <c r="H244" s="54"/>
      <c r="I244" s="54"/>
      <c r="J244" s="54" t="s">
        <v>2026</v>
      </c>
      <c r="K244" s="54"/>
      <c r="L244" s="54"/>
      <c r="M244" s="54" t="s">
        <v>99</v>
      </c>
      <c r="N244" s="54"/>
      <c r="O244" s="54"/>
      <c r="P244" s="54"/>
      <c r="Q244" s="54" t="s">
        <v>2027</v>
      </c>
      <c r="R244" s="57" t="s">
        <v>74</v>
      </c>
      <c r="S244" s="54" t="s">
        <v>2028</v>
      </c>
      <c r="T244" s="54"/>
      <c r="U244" s="54"/>
      <c r="V244" s="55">
        <v>42979</v>
      </c>
      <c r="W244" s="54"/>
      <c r="X244" s="54"/>
      <c r="Y244" s="54" t="s">
        <v>85</v>
      </c>
      <c r="Z244" s="54"/>
      <c r="AA244" s="54"/>
      <c r="AB244" s="54"/>
      <c r="AC244" s="58">
        <v>43009</v>
      </c>
      <c r="AD244" s="7"/>
      <c r="AE244" s="7"/>
      <c r="AF244" s="46"/>
      <c r="AG244" s="47"/>
      <c r="AH244" s="46"/>
      <c r="AI244" s="46"/>
    </row>
    <row r="245" spans="1:35" x14ac:dyDescent="0.25">
      <c r="A245" s="36">
        <v>238</v>
      </c>
      <c r="B245" s="53" t="s">
        <v>2029</v>
      </c>
      <c r="C245" s="54" t="s">
        <v>1266</v>
      </c>
      <c r="D245" s="55">
        <v>34423</v>
      </c>
      <c r="E245" s="54" t="s">
        <v>95</v>
      </c>
      <c r="F245" s="53"/>
      <c r="G245" s="54" t="s">
        <v>2030</v>
      </c>
      <c r="H245" s="54"/>
      <c r="I245" s="54"/>
      <c r="J245" s="54" t="s">
        <v>2031</v>
      </c>
      <c r="K245" s="54"/>
      <c r="L245" s="54"/>
      <c r="M245" s="54" t="s">
        <v>99</v>
      </c>
      <c r="N245" s="54"/>
      <c r="O245" s="54"/>
      <c r="P245" s="54"/>
      <c r="Q245" s="54" t="s">
        <v>2032</v>
      </c>
      <c r="R245" s="57" t="s">
        <v>74</v>
      </c>
      <c r="S245" s="54" t="s">
        <v>2033</v>
      </c>
      <c r="T245" s="54"/>
      <c r="U245" s="54"/>
      <c r="V245" s="55">
        <v>42989</v>
      </c>
      <c r="W245" s="54"/>
      <c r="X245" s="54"/>
      <c r="Y245" s="54" t="s">
        <v>85</v>
      </c>
      <c r="Z245" s="54"/>
      <c r="AA245" s="54"/>
      <c r="AB245" s="54"/>
      <c r="AC245" s="58">
        <v>43016</v>
      </c>
      <c r="AD245" s="7"/>
      <c r="AE245" s="7"/>
      <c r="AF245" s="46" t="str">
        <f>IF(R245="","",RIGHT(R245,LEN(R245)-FIND("@",R245)))</f>
        <v/>
      </c>
      <c r="AG245" s="47">
        <f>LEN(R245)-LEN(SUBSTITUTE(R245," ",""))</f>
        <v>0</v>
      </c>
      <c r="AH245" s="46" t="str">
        <f>SUBSTITUTE(R245," ","")</f>
        <v/>
      </c>
      <c r="AI245" s="46">
        <f>LEN(AH245)-LEN(SUBSTITUTE(AH245," ",""))</f>
        <v>0</v>
      </c>
    </row>
    <row r="246" spans="1:35" x14ac:dyDescent="0.25">
      <c r="A246" s="36">
        <v>239</v>
      </c>
      <c r="B246" s="37" t="s">
        <v>2034</v>
      </c>
      <c r="C246" s="38" t="s">
        <v>2035</v>
      </c>
      <c r="D246" s="39">
        <v>35518</v>
      </c>
      <c r="E246" s="38" t="s">
        <v>40</v>
      </c>
      <c r="F246" s="38" t="s">
        <v>48</v>
      </c>
      <c r="G246" s="38" t="s">
        <v>2036</v>
      </c>
      <c r="H246" s="38" t="s">
        <v>113</v>
      </c>
      <c r="I246" s="38" t="s">
        <v>114</v>
      </c>
      <c r="J246" s="41" t="s">
        <v>2037</v>
      </c>
      <c r="K246" s="41" t="s">
        <v>2038</v>
      </c>
      <c r="L246" s="43"/>
      <c r="M246" s="38" t="s">
        <v>99</v>
      </c>
      <c r="N246" s="43" t="s">
        <v>2039</v>
      </c>
      <c r="O246" s="43" t="s">
        <v>147</v>
      </c>
      <c r="P246" s="41" t="s">
        <v>2040</v>
      </c>
      <c r="Q246" s="41" t="s">
        <v>2041</v>
      </c>
      <c r="R246" s="74" t="s">
        <v>2042</v>
      </c>
      <c r="S246" s="38" t="s">
        <v>2043</v>
      </c>
      <c r="T246" s="38" t="s">
        <v>613</v>
      </c>
      <c r="U246" s="38" t="s">
        <v>2044</v>
      </c>
      <c r="V246" s="60">
        <v>43003</v>
      </c>
      <c r="W246" s="41" t="s">
        <v>2045</v>
      </c>
      <c r="X246" s="38" t="s">
        <v>2046</v>
      </c>
      <c r="Y246" s="38" t="s">
        <v>52</v>
      </c>
      <c r="Z246" s="38" t="s">
        <v>898</v>
      </c>
      <c r="AA246" s="38" t="s">
        <v>777</v>
      </c>
      <c r="AB246" s="38" t="s">
        <v>778</v>
      </c>
      <c r="AC246" s="45"/>
      <c r="AD246" s="7"/>
      <c r="AE246" s="7"/>
      <c r="AF246" s="46" t="str">
        <f>IF(R246="","",RIGHT(R246,LEN(R246)-FIND("@",R246)))</f>
        <v>gmail.com</v>
      </c>
      <c r="AG246" s="47">
        <f>LEN(R246)-LEN(SUBSTITUTE(R246," ",""))</f>
        <v>0</v>
      </c>
      <c r="AH246" s="46" t="str">
        <f>SUBSTITUTE(R246," ","")</f>
        <v>lalufayen34@gmail.com</v>
      </c>
      <c r="AI246" s="46">
        <f>LEN(AH246)-LEN(SUBSTITUTE(AH246," ",""))</f>
        <v>0</v>
      </c>
    </row>
    <row r="247" spans="1:35" x14ac:dyDescent="0.25">
      <c r="A247" s="36">
        <v>240</v>
      </c>
      <c r="B247" s="53" t="s">
        <v>2047</v>
      </c>
      <c r="C247" s="54" t="s">
        <v>2048</v>
      </c>
      <c r="D247" s="55">
        <v>35112</v>
      </c>
      <c r="E247" s="54" t="s">
        <v>40</v>
      </c>
      <c r="F247" s="69" t="s">
        <v>48</v>
      </c>
      <c r="G247" s="54" t="s">
        <v>2049</v>
      </c>
      <c r="H247" s="54" t="s">
        <v>43</v>
      </c>
      <c r="I247" s="54" t="s">
        <v>114</v>
      </c>
      <c r="J247" s="66" t="s">
        <v>2050</v>
      </c>
      <c r="K247" s="66" t="s">
        <v>2051</v>
      </c>
      <c r="L247" s="66"/>
      <c r="M247" s="54" t="s">
        <v>99</v>
      </c>
      <c r="N247" s="68" t="s">
        <v>2052</v>
      </c>
      <c r="O247" s="68" t="s">
        <v>76</v>
      </c>
      <c r="P247" s="68" t="s">
        <v>2053</v>
      </c>
      <c r="Q247" s="68" t="s">
        <v>2054</v>
      </c>
      <c r="R247" s="57" t="s">
        <v>2055</v>
      </c>
      <c r="S247" s="54" t="s">
        <v>2056</v>
      </c>
      <c r="T247" s="54" t="s">
        <v>463</v>
      </c>
      <c r="U247" s="54" t="s">
        <v>2057</v>
      </c>
      <c r="V247" s="72">
        <v>43012</v>
      </c>
      <c r="W247" s="66" t="s">
        <v>2058</v>
      </c>
      <c r="X247" s="54" t="s">
        <v>2059</v>
      </c>
      <c r="Y247" s="54" t="s">
        <v>85</v>
      </c>
      <c r="Z247" s="54" t="s">
        <v>454</v>
      </c>
      <c r="AA247" s="54" t="s">
        <v>125</v>
      </c>
      <c r="AB247" s="54" t="s">
        <v>173</v>
      </c>
      <c r="AC247" s="58">
        <v>44005</v>
      </c>
      <c r="AD247" s="7"/>
      <c r="AE247" s="7"/>
      <c r="AF247" s="46" t="str">
        <f>IF(R247="","",RIGHT(R247,LEN(R247)-FIND("@",R247)))</f>
        <v>gmail.com</v>
      </c>
      <c r="AG247" s="47">
        <f>LEN(R247)-LEN(SUBSTITUTE(R247," ",""))</f>
        <v>0</v>
      </c>
      <c r="AH247" s="46" t="str">
        <f>SUBSTITUTE(R247," ","")</f>
        <v>rfup.17@gmail.com</v>
      </c>
      <c r="AI247" s="46">
        <f>LEN(AH247)-LEN(SUBSTITUTE(AH247," ",""))</f>
        <v>0</v>
      </c>
    </row>
    <row r="248" spans="1:35" x14ac:dyDescent="0.25">
      <c r="A248" s="36">
        <v>241</v>
      </c>
      <c r="B248" s="53" t="s">
        <v>2060</v>
      </c>
      <c r="C248" s="54" t="s">
        <v>1266</v>
      </c>
      <c r="D248" s="55">
        <v>34941</v>
      </c>
      <c r="E248" s="54" t="s">
        <v>40</v>
      </c>
      <c r="F248" s="53"/>
      <c r="G248" s="54" t="s">
        <v>2061</v>
      </c>
      <c r="H248" s="54"/>
      <c r="I248" s="54"/>
      <c r="J248" s="54" t="s">
        <v>2062</v>
      </c>
      <c r="K248" s="54"/>
      <c r="L248" s="54"/>
      <c r="M248" s="54"/>
      <c r="N248" s="54"/>
      <c r="O248" s="54"/>
      <c r="P248" s="54"/>
      <c r="Q248" s="54" t="s">
        <v>2063</v>
      </c>
      <c r="R248" s="57" t="s">
        <v>74</v>
      </c>
      <c r="S248" s="54" t="s">
        <v>2064</v>
      </c>
      <c r="T248" s="54"/>
      <c r="U248" s="54"/>
      <c r="V248" s="55">
        <v>43012</v>
      </c>
      <c r="W248" s="54"/>
      <c r="X248" s="54"/>
      <c r="Y248" s="54" t="s">
        <v>85</v>
      </c>
      <c r="Z248" s="54"/>
      <c r="AA248" s="54"/>
      <c r="AB248" s="54"/>
      <c r="AC248" s="58">
        <v>43166</v>
      </c>
      <c r="AD248" s="7"/>
      <c r="AE248" s="7"/>
      <c r="AF248" s="46" t="str">
        <f>IF(R248="","",RIGHT(R248,LEN(R248)-FIND("@",R248)))</f>
        <v/>
      </c>
      <c r="AG248" s="47">
        <f>LEN(R248)-LEN(SUBSTITUTE(R248," ",""))</f>
        <v>0</v>
      </c>
      <c r="AH248" s="46" t="str">
        <f>SUBSTITUTE(R248," ","")</f>
        <v/>
      </c>
      <c r="AI248" s="46">
        <f>LEN(AH248)-LEN(SUBSTITUTE(AH248," ",""))</f>
        <v>0</v>
      </c>
    </row>
    <row r="249" spans="1:35" x14ac:dyDescent="0.25">
      <c r="A249" s="48">
        <v>242</v>
      </c>
      <c r="B249" s="53" t="s">
        <v>2065</v>
      </c>
      <c r="C249" s="54" t="s">
        <v>1266</v>
      </c>
      <c r="D249" s="55">
        <v>36115</v>
      </c>
      <c r="E249" s="54" t="s">
        <v>95</v>
      </c>
      <c r="F249" s="53"/>
      <c r="G249" s="54" t="s">
        <v>2066</v>
      </c>
      <c r="H249" s="54"/>
      <c r="I249" s="54"/>
      <c r="J249" s="54" t="s">
        <v>2067</v>
      </c>
      <c r="K249" s="54"/>
      <c r="L249" s="54"/>
      <c r="M249" s="54" t="s">
        <v>99</v>
      </c>
      <c r="N249" s="54"/>
      <c r="O249" s="54"/>
      <c r="P249" s="54"/>
      <c r="Q249" s="54" t="s">
        <v>2068</v>
      </c>
      <c r="R249" s="57" t="s">
        <v>74</v>
      </c>
      <c r="S249" s="54" t="s">
        <v>2066</v>
      </c>
      <c r="T249" s="54"/>
      <c r="U249" s="54"/>
      <c r="V249" s="55">
        <v>43012</v>
      </c>
      <c r="W249" s="54"/>
      <c r="X249" s="54"/>
      <c r="Y249" s="54" t="s">
        <v>85</v>
      </c>
      <c r="Z249" s="54"/>
      <c r="AA249" s="54"/>
      <c r="AB249" s="54"/>
      <c r="AC249" s="58">
        <v>43282</v>
      </c>
      <c r="AD249" s="7"/>
      <c r="AE249" s="7"/>
      <c r="AF249" s="46"/>
      <c r="AG249" s="47"/>
      <c r="AH249" s="46"/>
      <c r="AI249" s="46"/>
    </row>
    <row r="250" spans="1:35" x14ac:dyDescent="0.25">
      <c r="A250" s="36">
        <v>243</v>
      </c>
      <c r="B250" s="53" t="s">
        <v>2069</v>
      </c>
      <c r="C250" s="54" t="s">
        <v>1397</v>
      </c>
      <c r="D250" s="55">
        <v>36066</v>
      </c>
      <c r="E250" s="54" t="s">
        <v>40</v>
      </c>
      <c r="F250" s="53"/>
      <c r="G250" s="54" t="s">
        <v>2070</v>
      </c>
      <c r="H250" s="54"/>
      <c r="I250" s="54"/>
      <c r="J250" s="54" t="s">
        <v>2071</v>
      </c>
      <c r="K250" s="54"/>
      <c r="L250" s="54"/>
      <c r="M250" s="54"/>
      <c r="N250" s="54"/>
      <c r="O250" s="54"/>
      <c r="P250" s="54"/>
      <c r="Q250" s="54" t="s">
        <v>2072</v>
      </c>
      <c r="R250" s="57" t="s">
        <v>74</v>
      </c>
      <c r="S250" s="54" t="s">
        <v>2073</v>
      </c>
      <c r="T250" s="54"/>
      <c r="U250" s="54" t="s">
        <v>2074</v>
      </c>
      <c r="V250" s="55">
        <v>43012</v>
      </c>
      <c r="W250" s="54"/>
      <c r="X250" s="54"/>
      <c r="Y250" s="54" t="s">
        <v>85</v>
      </c>
      <c r="Z250" s="54"/>
      <c r="AA250" s="54"/>
      <c r="AB250" s="54"/>
      <c r="AC250" s="58">
        <v>43477</v>
      </c>
      <c r="AD250" s="7"/>
      <c r="AE250" s="7"/>
      <c r="AF250" s="46" t="str">
        <f>IF(R250="","",RIGHT(R250,LEN(R250)-FIND("@",R250)))</f>
        <v/>
      </c>
      <c r="AG250" s="47">
        <f>LEN(R250)-LEN(SUBSTITUTE(R250," ",""))</f>
        <v>0</v>
      </c>
      <c r="AH250" s="46" t="str">
        <f>SUBSTITUTE(R250," ","")</f>
        <v/>
      </c>
      <c r="AI250" s="46">
        <f>LEN(AH250)-LEN(SUBSTITUTE(AH250," ",""))</f>
        <v>0</v>
      </c>
    </row>
    <row r="251" spans="1:35" x14ac:dyDescent="0.25">
      <c r="A251" s="36">
        <v>244</v>
      </c>
      <c r="B251" s="37" t="s">
        <v>2075</v>
      </c>
      <c r="C251" s="38" t="s">
        <v>94</v>
      </c>
      <c r="D251" s="39">
        <v>35739</v>
      </c>
      <c r="E251" s="38" t="s">
        <v>95</v>
      </c>
      <c r="F251" s="40" t="s">
        <v>48</v>
      </c>
      <c r="G251" s="38" t="s">
        <v>2076</v>
      </c>
      <c r="H251" s="38" t="s">
        <v>72</v>
      </c>
      <c r="I251" s="38" t="s">
        <v>114</v>
      </c>
      <c r="J251" s="41" t="s">
        <v>2077</v>
      </c>
      <c r="K251" s="41" t="s">
        <v>2078</v>
      </c>
      <c r="L251" s="43"/>
      <c r="M251" s="38" t="s">
        <v>99</v>
      </c>
      <c r="N251" s="43" t="s">
        <v>48</v>
      </c>
      <c r="O251" s="43"/>
      <c r="P251" s="43" t="s">
        <v>2079</v>
      </c>
      <c r="Q251" s="43" t="s">
        <v>2080</v>
      </c>
      <c r="R251" s="50" t="s">
        <v>2081</v>
      </c>
      <c r="S251" s="38" t="s">
        <v>2082</v>
      </c>
      <c r="T251" s="38" t="s">
        <v>2083</v>
      </c>
      <c r="U251" s="40" t="s">
        <v>2084</v>
      </c>
      <c r="V251" s="60">
        <v>43015</v>
      </c>
      <c r="W251" s="41" t="s">
        <v>2085</v>
      </c>
      <c r="X251" s="38" t="s">
        <v>2086</v>
      </c>
      <c r="Y251" s="38" t="s">
        <v>52</v>
      </c>
      <c r="Z251" s="38" t="s">
        <v>396</v>
      </c>
      <c r="AA251" s="38" t="s">
        <v>125</v>
      </c>
      <c r="AB251" s="38" t="s">
        <v>282</v>
      </c>
      <c r="AC251" s="45"/>
      <c r="AD251" s="7"/>
      <c r="AE251" s="7"/>
      <c r="AF251" s="46" t="str">
        <f>IF(R251="","",RIGHT(R251,LEN(R251)-FIND("@",R251)))</f>
        <v>gmail.com</v>
      </c>
      <c r="AG251" s="47">
        <f>LEN(R251)-LEN(SUBSTITUTE(R251," ",""))</f>
        <v>0</v>
      </c>
      <c r="AH251" s="46" t="str">
        <f>SUBSTITUTE(R251," ","")</f>
        <v>galeriasus44@gmail.com</v>
      </c>
      <c r="AI251" s="46">
        <f>LEN(AH251)-LEN(SUBSTITUTE(AH251," ",""))</f>
        <v>0</v>
      </c>
    </row>
    <row r="252" spans="1:35" x14ac:dyDescent="0.25">
      <c r="A252" s="36">
        <v>245</v>
      </c>
      <c r="B252" s="37" t="s">
        <v>2087</v>
      </c>
      <c r="C252" s="38" t="s">
        <v>2088</v>
      </c>
      <c r="D252" s="39">
        <v>35912</v>
      </c>
      <c r="E252" s="38" t="s">
        <v>40</v>
      </c>
      <c r="F252" s="38" t="s">
        <v>48</v>
      </c>
      <c r="G252" s="38" t="s">
        <v>2089</v>
      </c>
      <c r="H252" s="38" t="s">
        <v>113</v>
      </c>
      <c r="I252" s="38" t="s">
        <v>114</v>
      </c>
      <c r="J252" s="41" t="s">
        <v>2090</v>
      </c>
      <c r="K252" s="41" t="s">
        <v>2091</v>
      </c>
      <c r="L252" s="41"/>
      <c r="M252" s="38" t="s">
        <v>99</v>
      </c>
      <c r="N252" s="43" t="s">
        <v>2092</v>
      </c>
      <c r="O252" s="43" t="s">
        <v>147</v>
      </c>
      <c r="P252" s="41" t="s">
        <v>2093</v>
      </c>
      <c r="Q252" s="41" t="s">
        <v>2094</v>
      </c>
      <c r="R252" s="74" t="s">
        <v>2095</v>
      </c>
      <c r="S252" s="38" t="s">
        <v>2096</v>
      </c>
      <c r="T252" s="38" t="s">
        <v>613</v>
      </c>
      <c r="U252" s="38" t="s">
        <v>2097</v>
      </c>
      <c r="V252" s="60">
        <v>43015</v>
      </c>
      <c r="W252" s="41" t="s">
        <v>2098</v>
      </c>
      <c r="X252" s="38" t="s">
        <v>2099</v>
      </c>
      <c r="Y252" s="38" t="s">
        <v>52</v>
      </c>
      <c r="Z252" s="38" t="s">
        <v>156</v>
      </c>
      <c r="AA252" s="38" t="s">
        <v>125</v>
      </c>
      <c r="AB252" s="38" t="s">
        <v>1599</v>
      </c>
      <c r="AC252" s="45"/>
      <c r="AD252" s="7"/>
      <c r="AE252" s="7"/>
      <c r="AF252" s="46" t="str">
        <f>IF(R252="","",RIGHT(R252,LEN(R252)-FIND("@",R252)))</f>
        <v>gmail.com</v>
      </c>
      <c r="AG252" s="47">
        <f>LEN(R252)-LEN(SUBSTITUTE(R252," ",""))</f>
        <v>0</v>
      </c>
      <c r="AH252" s="46" t="str">
        <f>SUBSTITUTE(R252," ","")</f>
        <v>tokipthok@gmail.com</v>
      </c>
      <c r="AI252" s="46">
        <f>LEN(AH252)-LEN(SUBSTITUTE(AH252," ",""))</f>
        <v>0</v>
      </c>
    </row>
    <row r="253" spans="1:35" x14ac:dyDescent="0.25">
      <c r="A253" s="36">
        <v>246</v>
      </c>
      <c r="B253" s="37" t="s">
        <v>2100</v>
      </c>
      <c r="C253" s="38" t="s">
        <v>2101</v>
      </c>
      <c r="D253" s="39">
        <v>35863</v>
      </c>
      <c r="E253" s="38" t="s">
        <v>95</v>
      </c>
      <c r="F253" s="38" t="s">
        <v>48</v>
      </c>
      <c r="G253" s="38" t="s">
        <v>2102</v>
      </c>
      <c r="H253" s="38" t="s">
        <v>72</v>
      </c>
      <c r="I253" s="38" t="s">
        <v>114</v>
      </c>
      <c r="J253" s="41" t="s">
        <v>2103</v>
      </c>
      <c r="K253" s="41" t="s">
        <v>2104</v>
      </c>
      <c r="L253" s="41"/>
      <c r="M253" s="38" t="s">
        <v>99</v>
      </c>
      <c r="N253" s="41" t="s">
        <v>2105</v>
      </c>
      <c r="O253" s="41" t="s">
        <v>76</v>
      </c>
      <c r="P253" s="41" t="s">
        <v>2106</v>
      </c>
      <c r="Q253" s="41" t="s">
        <v>2107</v>
      </c>
      <c r="R253" s="50" t="s">
        <v>2108</v>
      </c>
      <c r="S253" s="38" t="s">
        <v>2109</v>
      </c>
      <c r="T253" s="38" t="s">
        <v>2110</v>
      </c>
      <c r="U253" s="38">
        <v>85338942123</v>
      </c>
      <c r="V253" s="60">
        <v>43017</v>
      </c>
      <c r="W253" s="41" t="s">
        <v>2111</v>
      </c>
      <c r="X253" s="38" t="s">
        <v>2112</v>
      </c>
      <c r="Y253" s="38" t="s">
        <v>52</v>
      </c>
      <c r="Z253" s="38" t="s">
        <v>396</v>
      </c>
      <c r="AA253" s="38" t="s">
        <v>227</v>
      </c>
      <c r="AB253" s="38" t="s">
        <v>55</v>
      </c>
      <c r="AC253" s="45"/>
      <c r="AD253" s="7"/>
      <c r="AE253" s="7"/>
      <c r="AF253" s="46"/>
      <c r="AG253" s="47"/>
      <c r="AH253" s="46"/>
      <c r="AI253" s="46"/>
    </row>
    <row r="254" spans="1:35" x14ac:dyDescent="0.25">
      <c r="A254" s="36">
        <v>247</v>
      </c>
      <c r="B254" s="53" t="s">
        <v>2113</v>
      </c>
      <c r="C254" s="54" t="s">
        <v>1102</v>
      </c>
      <c r="D254" s="55">
        <v>35843</v>
      </c>
      <c r="E254" s="54" t="s">
        <v>40</v>
      </c>
      <c r="F254" s="53"/>
      <c r="G254" s="54" t="s">
        <v>2114</v>
      </c>
      <c r="H254" s="54"/>
      <c r="I254" s="54"/>
      <c r="J254" s="54" t="s">
        <v>2115</v>
      </c>
      <c r="K254" s="54"/>
      <c r="L254" s="54"/>
      <c r="M254" s="54"/>
      <c r="N254" s="54"/>
      <c r="O254" s="54"/>
      <c r="P254" s="54"/>
      <c r="Q254" s="54" t="s">
        <v>2116</v>
      </c>
      <c r="R254" s="57" t="s">
        <v>74</v>
      </c>
      <c r="S254" s="54" t="s">
        <v>2117</v>
      </c>
      <c r="T254" s="54"/>
      <c r="U254" s="54"/>
      <c r="V254" s="55">
        <v>43017</v>
      </c>
      <c r="W254" s="54"/>
      <c r="X254" s="54"/>
      <c r="Y254" s="54" t="s">
        <v>85</v>
      </c>
      <c r="Z254" s="54"/>
      <c r="AA254" s="54"/>
      <c r="AB254" s="54"/>
      <c r="AC254" s="58">
        <v>43180</v>
      </c>
      <c r="AD254" s="7"/>
      <c r="AE254" s="7"/>
      <c r="AF254" s="46"/>
      <c r="AG254" s="47"/>
      <c r="AH254" s="46"/>
      <c r="AI254" s="46"/>
    </row>
    <row r="255" spans="1:35" x14ac:dyDescent="0.25">
      <c r="A255" s="48">
        <v>248</v>
      </c>
      <c r="B255" s="53" t="s">
        <v>2118</v>
      </c>
      <c r="C255" s="54" t="s">
        <v>2119</v>
      </c>
      <c r="D255" s="55">
        <v>34781</v>
      </c>
      <c r="E255" s="54" t="s">
        <v>40</v>
      </c>
      <c r="F255" s="53"/>
      <c r="G255" s="54" t="s">
        <v>2120</v>
      </c>
      <c r="H255" s="54"/>
      <c r="I255" s="54"/>
      <c r="J255" s="54" t="s">
        <v>2121</v>
      </c>
      <c r="K255" s="54"/>
      <c r="L255" s="54"/>
      <c r="M255" s="54"/>
      <c r="N255" s="54"/>
      <c r="O255" s="54"/>
      <c r="P255" s="54"/>
      <c r="Q255" s="54" t="s">
        <v>2122</v>
      </c>
      <c r="R255" s="57" t="s">
        <v>74</v>
      </c>
      <c r="S255" s="54" t="s">
        <v>2123</v>
      </c>
      <c r="T255" s="54"/>
      <c r="U255" s="54"/>
      <c r="V255" s="55">
        <v>43018</v>
      </c>
      <c r="W255" s="54"/>
      <c r="X255" s="54"/>
      <c r="Y255" s="54" t="s">
        <v>85</v>
      </c>
      <c r="Z255" s="54"/>
      <c r="AA255" s="54"/>
      <c r="AB255" s="54"/>
      <c r="AC255" s="58">
        <v>43084</v>
      </c>
      <c r="AD255" s="7"/>
      <c r="AE255" s="7"/>
      <c r="AF255" s="46" t="str">
        <f t="shared" ref="AF255:AF261" si="8">IF(R255="","",RIGHT(R255,LEN(R255)-FIND("@",R255)))</f>
        <v/>
      </c>
      <c r="AG255" s="47">
        <f t="shared" ref="AG255:AG261" si="9">LEN(R255)-LEN(SUBSTITUTE(R255," ",""))</f>
        <v>0</v>
      </c>
      <c r="AH255" s="46" t="str">
        <f t="shared" ref="AH255:AH261" si="10">SUBSTITUTE(R255," ","")</f>
        <v/>
      </c>
      <c r="AI255" s="46">
        <f t="shared" ref="AI255:AI261" si="11">LEN(AH255)-LEN(SUBSTITUTE(AH255," ",""))</f>
        <v>0</v>
      </c>
    </row>
    <row r="256" spans="1:35" x14ac:dyDescent="0.25">
      <c r="A256" s="36">
        <v>249</v>
      </c>
      <c r="B256" s="53" t="s">
        <v>2124</v>
      </c>
      <c r="C256" s="54" t="s">
        <v>2125</v>
      </c>
      <c r="D256" s="55">
        <v>34561</v>
      </c>
      <c r="E256" s="54" t="s">
        <v>95</v>
      </c>
      <c r="F256" s="53"/>
      <c r="G256" s="54" t="s">
        <v>1377</v>
      </c>
      <c r="H256" s="54"/>
      <c r="I256" s="54"/>
      <c r="J256" s="54" t="s">
        <v>2126</v>
      </c>
      <c r="K256" s="54"/>
      <c r="L256" s="54"/>
      <c r="M256" s="54" t="s">
        <v>99</v>
      </c>
      <c r="N256" s="54"/>
      <c r="O256" s="54"/>
      <c r="P256" s="54"/>
      <c r="Q256" s="54" t="s">
        <v>2127</v>
      </c>
      <c r="R256" s="57" t="s">
        <v>74</v>
      </c>
      <c r="S256" s="54" t="s">
        <v>2128</v>
      </c>
      <c r="T256" s="54"/>
      <c r="U256" s="54"/>
      <c r="V256" s="55">
        <v>43020</v>
      </c>
      <c r="W256" s="54"/>
      <c r="X256" s="54"/>
      <c r="Y256" s="54" t="s">
        <v>85</v>
      </c>
      <c r="Z256" s="54"/>
      <c r="AA256" s="54"/>
      <c r="AB256" s="54"/>
      <c r="AC256" s="58">
        <v>43313</v>
      </c>
      <c r="AD256" s="7"/>
      <c r="AE256" s="7"/>
      <c r="AF256" s="46" t="str">
        <f t="shared" si="8"/>
        <v/>
      </c>
      <c r="AG256" s="47">
        <f t="shared" si="9"/>
        <v>0</v>
      </c>
      <c r="AH256" s="46" t="str">
        <f t="shared" si="10"/>
        <v/>
      </c>
      <c r="AI256" s="46">
        <f t="shared" si="11"/>
        <v>0</v>
      </c>
    </row>
    <row r="257" spans="1:35" x14ac:dyDescent="0.25">
      <c r="A257" s="36">
        <v>250</v>
      </c>
      <c r="B257" s="37" t="s">
        <v>2129</v>
      </c>
      <c r="C257" s="38" t="s">
        <v>2130</v>
      </c>
      <c r="D257" s="39">
        <v>34697</v>
      </c>
      <c r="E257" s="38" t="s">
        <v>95</v>
      </c>
      <c r="F257" s="38" t="s">
        <v>129</v>
      </c>
      <c r="G257" s="38" t="s">
        <v>2131</v>
      </c>
      <c r="H257" s="38" t="s">
        <v>113</v>
      </c>
      <c r="I257" s="38" t="s">
        <v>114</v>
      </c>
      <c r="J257" s="43" t="s">
        <v>2132</v>
      </c>
      <c r="K257" s="43" t="s">
        <v>2133</v>
      </c>
      <c r="L257" s="43"/>
      <c r="M257" s="38" t="s">
        <v>99</v>
      </c>
      <c r="N257" s="43" t="s">
        <v>2134</v>
      </c>
      <c r="O257" s="43" t="s">
        <v>76</v>
      </c>
      <c r="P257" s="41" t="s">
        <v>2135</v>
      </c>
      <c r="Q257" s="41" t="s">
        <v>2136</v>
      </c>
      <c r="R257" s="50" t="s">
        <v>2137</v>
      </c>
      <c r="S257" s="38" t="s">
        <v>2138</v>
      </c>
      <c r="T257" s="38" t="s">
        <v>2139</v>
      </c>
      <c r="U257" s="40" t="s">
        <v>2140</v>
      </c>
      <c r="V257" s="60">
        <v>43024</v>
      </c>
      <c r="W257" s="41" t="s">
        <v>2141</v>
      </c>
      <c r="X257" s="38" t="s">
        <v>2142</v>
      </c>
      <c r="Y257" s="38" t="s">
        <v>52</v>
      </c>
      <c r="Z257" s="38" t="s">
        <v>416</v>
      </c>
      <c r="AA257" s="38" t="s">
        <v>213</v>
      </c>
      <c r="AB257" s="38" t="s">
        <v>214</v>
      </c>
      <c r="AC257" s="45"/>
      <c r="AD257" s="7"/>
      <c r="AE257" s="7"/>
      <c r="AF257" s="46" t="str">
        <f t="shared" si="8"/>
        <v>gmail.com</v>
      </c>
      <c r="AG257" s="47">
        <f t="shared" si="9"/>
        <v>0</v>
      </c>
      <c r="AH257" s="46" t="str">
        <f t="shared" si="10"/>
        <v>prasetyakatania@gmail.com</v>
      </c>
      <c r="AI257" s="46">
        <f t="shared" si="11"/>
        <v>0</v>
      </c>
    </row>
    <row r="258" spans="1:35" x14ac:dyDescent="0.25">
      <c r="A258" s="36">
        <v>251</v>
      </c>
      <c r="B258" s="53" t="s">
        <v>2143</v>
      </c>
      <c r="C258" s="54" t="s">
        <v>2144</v>
      </c>
      <c r="D258" s="55">
        <v>35679</v>
      </c>
      <c r="E258" s="54" t="s">
        <v>40</v>
      </c>
      <c r="F258" s="53"/>
      <c r="G258" s="54" t="s">
        <v>2145</v>
      </c>
      <c r="H258" s="54"/>
      <c r="I258" s="54"/>
      <c r="J258" s="54" t="s">
        <v>2146</v>
      </c>
      <c r="K258" s="54"/>
      <c r="L258" s="54"/>
      <c r="M258" s="54"/>
      <c r="N258" s="54"/>
      <c r="O258" s="54"/>
      <c r="P258" s="54"/>
      <c r="Q258" s="54" t="s">
        <v>2147</v>
      </c>
      <c r="R258" s="57" t="s">
        <v>74</v>
      </c>
      <c r="S258" s="54" t="s">
        <v>2148</v>
      </c>
      <c r="T258" s="54"/>
      <c r="U258" s="54" t="s">
        <v>2149</v>
      </c>
      <c r="V258" s="55">
        <v>43024</v>
      </c>
      <c r="W258" s="54"/>
      <c r="X258" s="54"/>
      <c r="Y258" s="54" t="s">
        <v>85</v>
      </c>
      <c r="Z258" s="54"/>
      <c r="AA258" s="54"/>
      <c r="AB258" s="54"/>
      <c r="AC258" s="58">
        <v>43690</v>
      </c>
      <c r="AD258" s="7"/>
      <c r="AE258" s="7"/>
      <c r="AF258" s="46" t="str">
        <f t="shared" si="8"/>
        <v/>
      </c>
      <c r="AG258" s="47">
        <f t="shared" si="9"/>
        <v>0</v>
      </c>
      <c r="AH258" s="46" t="str">
        <f t="shared" si="10"/>
        <v/>
      </c>
      <c r="AI258" s="46">
        <f t="shared" si="11"/>
        <v>0</v>
      </c>
    </row>
    <row r="259" spans="1:35" x14ac:dyDescent="0.25">
      <c r="A259" s="36">
        <v>252</v>
      </c>
      <c r="B259" s="37" t="s">
        <v>2150</v>
      </c>
      <c r="C259" s="38" t="s">
        <v>94</v>
      </c>
      <c r="D259" s="39">
        <v>34859</v>
      </c>
      <c r="E259" s="38" t="s">
        <v>40</v>
      </c>
      <c r="F259" s="38" t="s">
        <v>304</v>
      </c>
      <c r="G259" s="38" t="s">
        <v>2151</v>
      </c>
      <c r="H259" s="38" t="s">
        <v>2152</v>
      </c>
      <c r="I259" s="38" t="s">
        <v>114</v>
      </c>
      <c r="J259" s="41" t="s">
        <v>2153</v>
      </c>
      <c r="K259" s="41" t="s">
        <v>2154</v>
      </c>
      <c r="L259" s="42" t="s">
        <v>2155</v>
      </c>
      <c r="M259" s="38" t="s">
        <v>99</v>
      </c>
      <c r="N259" s="41" t="s">
        <v>2156</v>
      </c>
      <c r="O259" s="41" t="s">
        <v>76</v>
      </c>
      <c r="P259" s="41" t="s">
        <v>2157</v>
      </c>
      <c r="Q259" s="41" t="s">
        <v>2158</v>
      </c>
      <c r="R259" s="50" t="s">
        <v>2159</v>
      </c>
      <c r="S259" s="38" t="s">
        <v>2160</v>
      </c>
      <c r="T259" s="38" t="s">
        <v>2161</v>
      </c>
      <c r="U259" s="38">
        <v>81337342952</v>
      </c>
      <c r="V259" s="60">
        <v>43031</v>
      </c>
      <c r="W259" s="41" t="s">
        <v>2162</v>
      </c>
      <c r="X259" s="38" t="s">
        <v>2163</v>
      </c>
      <c r="Y259" s="38" t="s">
        <v>52</v>
      </c>
      <c r="Z259" s="38" t="s">
        <v>108</v>
      </c>
      <c r="AA259" s="38" t="s">
        <v>125</v>
      </c>
      <c r="AB259" s="38" t="s">
        <v>2164</v>
      </c>
      <c r="AC259" s="45"/>
      <c r="AD259" s="7"/>
      <c r="AE259" s="7"/>
      <c r="AF259" s="46" t="str">
        <f t="shared" si="8"/>
        <v>gmail.com</v>
      </c>
      <c r="AG259" s="47">
        <f t="shared" si="9"/>
        <v>0</v>
      </c>
      <c r="AH259" s="46" t="str">
        <f t="shared" si="10"/>
        <v>iantanaya95@gmail.com</v>
      </c>
      <c r="AI259" s="46">
        <f t="shared" si="11"/>
        <v>0</v>
      </c>
    </row>
    <row r="260" spans="1:35" x14ac:dyDescent="0.25">
      <c r="A260" s="36">
        <v>253</v>
      </c>
      <c r="B260" s="53" t="s">
        <v>2165</v>
      </c>
      <c r="C260" s="54" t="s">
        <v>1266</v>
      </c>
      <c r="D260" s="55">
        <v>35354</v>
      </c>
      <c r="E260" s="54" t="s">
        <v>95</v>
      </c>
      <c r="F260" s="53"/>
      <c r="G260" s="54" t="s">
        <v>2166</v>
      </c>
      <c r="H260" s="54"/>
      <c r="I260" s="54"/>
      <c r="J260" s="54" t="s">
        <v>2167</v>
      </c>
      <c r="K260" s="54"/>
      <c r="L260" s="54"/>
      <c r="M260" s="54" t="s">
        <v>99</v>
      </c>
      <c r="N260" s="54"/>
      <c r="O260" s="54"/>
      <c r="P260" s="54"/>
      <c r="Q260" s="54" t="s">
        <v>2168</v>
      </c>
      <c r="R260" s="57" t="s">
        <v>74</v>
      </c>
      <c r="S260" s="54" t="s">
        <v>2169</v>
      </c>
      <c r="T260" s="54"/>
      <c r="U260" s="54" t="s">
        <v>2170</v>
      </c>
      <c r="V260" s="55">
        <v>43031</v>
      </c>
      <c r="W260" s="54"/>
      <c r="X260" s="54"/>
      <c r="Y260" s="54" t="s">
        <v>85</v>
      </c>
      <c r="Z260" s="54"/>
      <c r="AA260" s="54"/>
      <c r="AB260" s="54"/>
      <c r="AC260" s="58">
        <v>43404</v>
      </c>
      <c r="AD260" s="7"/>
      <c r="AE260" s="7"/>
      <c r="AF260" s="46" t="str">
        <f t="shared" si="8"/>
        <v/>
      </c>
      <c r="AG260" s="47">
        <f t="shared" si="9"/>
        <v>0</v>
      </c>
      <c r="AH260" s="46" t="str">
        <f t="shared" si="10"/>
        <v/>
      </c>
      <c r="AI260" s="46">
        <f t="shared" si="11"/>
        <v>0</v>
      </c>
    </row>
    <row r="261" spans="1:35" x14ac:dyDescent="0.25">
      <c r="A261" s="48">
        <v>254</v>
      </c>
      <c r="B261" s="53" t="s">
        <v>2171</v>
      </c>
      <c r="C261" s="54" t="s">
        <v>2172</v>
      </c>
      <c r="D261" s="55">
        <v>33910</v>
      </c>
      <c r="E261" s="54" t="s">
        <v>40</v>
      </c>
      <c r="F261" s="53"/>
      <c r="G261" s="54" t="s">
        <v>2173</v>
      </c>
      <c r="H261" s="54"/>
      <c r="I261" s="54"/>
      <c r="J261" s="54" t="s">
        <v>2174</v>
      </c>
      <c r="K261" s="54"/>
      <c r="L261" s="54"/>
      <c r="M261" s="54"/>
      <c r="N261" s="54"/>
      <c r="O261" s="54"/>
      <c r="P261" s="54"/>
      <c r="Q261" s="54" t="s">
        <v>2175</v>
      </c>
      <c r="R261" s="57" t="s">
        <v>74</v>
      </c>
      <c r="S261" s="54" t="s">
        <v>2176</v>
      </c>
      <c r="T261" s="54"/>
      <c r="U261" s="54"/>
      <c r="V261" s="55">
        <v>43033</v>
      </c>
      <c r="W261" s="54"/>
      <c r="X261" s="54"/>
      <c r="Y261" s="54" t="s">
        <v>85</v>
      </c>
      <c r="Z261" s="54"/>
      <c r="AA261" s="54"/>
      <c r="AB261" s="54"/>
      <c r="AC261" s="58">
        <v>43154</v>
      </c>
      <c r="AD261" s="7"/>
      <c r="AE261" s="7"/>
      <c r="AF261" s="46" t="str">
        <f t="shared" si="8"/>
        <v/>
      </c>
      <c r="AG261" s="47">
        <f t="shared" si="9"/>
        <v>0</v>
      </c>
      <c r="AH261" s="46" t="str">
        <f t="shared" si="10"/>
        <v/>
      </c>
      <c r="AI261" s="46">
        <f t="shared" si="11"/>
        <v>0</v>
      </c>
    </row>
    <row r="262" spans="1:35" x14ac:dyDescent="0.25">
      <c r="A262" s="36">
        <v>255</v>
      </c>
      <c r="B262" s="53" t="s">
        <v>2177</v>
      </c>
      <c r="C262" s="54" t="s">
        <v>2178</v>
      </c>
      <c r="D262" s="55">
        <v>34354</v>
      </c>
      <c r="E262" s="54" t="s">
        <v>40</v>
      </c>
      <c r="F262" s="53"/>
      <c r="G262" s="54" t="s">
        <v>2179</v>
      </c>
      <c r="H262" s="54"/>
      <c r="I262" s="54"/>
      <c r="J262" s="54" t="s">
        <v>2180</v>
      </c>
      <c r="K262" s="54"/>
      <c r="L262" s="54"/>
      <c r="M262" s="54"/>
      <c r="N262" s="54"/>
      <c r="O262" s="54"/>
      <c r="P262" s="54"/>
      <c r="Q262" s="54" t="s">
        <v>2181</v>
      </c>
      <c r="R262" s="57" t="s">
        <v>74</v>
      </c>
      <c r="S262" s="54" t="s">
        <v>2182</v>
      </c>
      <c r="T262" s="54"/>
      <c r="U262" s="54"/>
      <c r="V262" s="55">
        <v>43038</v>
      </c>
      <c r="W262" s="54"/>
      <c r="X262" s="54"/>
      <c r="Y262" s="54" t="s">
        <v>85</v>
      </c>
      <c r="Z262" s="54"/>
      <c r="AA262" s="54"/>
      <c r="AB262" s="54"/>
      <c r="AC262" s="58">
        <v>43313</v>
      </c>
      <c r="AD262" s="7"/>
      <c r="AE262" s="7"/>
      <c r="AF262" s="46"/>
      <c r="AG262" s="47"/>
      <c r="AH262" s="46"/>
      <c r="AI262" s="46"/>
    </row>
    <row r="263" spans="1:35" x14ac:dyDescent="0.25">
      <c r="A263" s="36">
        <v>256</v>
      </c>
      <c r="B263" s="53" t="s">
        <v>2183</v>
      </c>
      <c r="C263" s="54" t="s">
        <v>2184</v>
      </c>
      <c r="D263" s="55">
        <v>35031</v>
      </c>
      <c r="E263" s="54" t="s">
        <v>40</v>
      </c>
      <c r="F263" s="53"/>
      <c r="G263" s="54" t="s">
        <v>2185</v>
      </c>
      <c r="H263" s="54"/>
      <c r="I263" s="54"/>
      <c r="J263" s="54" t="s">
        <v>2186</v>
      </c>
      <c r="K263" s="54"/>
      <c r="L263" s="54"/>
      <c r="M263" s="54"/>
      <c r="N263" s="54"/>
      <c r="O263" s="54"/>
      <c r="P263" s="54"/>
      <c r="Q263" s="54" t="s">
        <v>2187</v>
      </c>
      <c r="R263" s="57" t="s">
        <v>74</v>
      </c>
      <c r="S263" s="54" t="s">
        <v>2188</v>
      </c>
      <c r="T263" s="54"/>
      <c r="U263" s="54" t="s">
        <v>2189</v>
      </c>
      <c r="V263" s="55">
        <v>43041</v>
      </c>
      <c r="W263" s="54"/>
      <c r="X263" s="54"/>
      <c r="Y263" s="54" t="s">
        <v>85</v>
      </c>
      <c r="Z263" s="54"/>
      <c r="AA263" s="54"/>
      <c r="AB263" s="54"/>
      <c r="AC263" s="58" t="s">
        <v>2190</v>
      </c>
      <c r="AD263" s="7"/>
      <c r="AE263" s="7" t="s">
        <v>1</v>
      </c>
      <c r="AF263" s="46"/>
      <c r="AG263" s="47"/>
      <c r="AH263" s="46"/>
      <c r="AI263" s="46"/>
    </row>
    <row r="264" spans="1:35" x14ac:dyDescent="0.25">
      <c r="A264" s="36">
        <v>257</v>
      </c>
      <c r="B264" s="37" t="s">
        <v>2191</v>
      </c>
      <c r="C264" s="38" t="s">
        <v>2192</v>
      </c>
      <c r="D264" s="39">
        <v>34208</v>
      </c>
      <c r="E264" s="38" t="s">
        <v>95</v>
      </c>
      <c r="F264" s="38" t="s">
        <v>48</v>
      </c>
      <c r="G264" s="38" t="s">
        <v>2193</v>
      </c>
      <c r="H264" s="38" t="s">
        <v>510</v>
      </c>
      <c r="I264" s="38" t="s">
        <v>114</v>
      </c>
      <c r="J264" s="41" t="s">
        <v>2194</v>
      </c>
      <c r="K264" s="41" t="s">
        <v>2195</v>
      </c>
      <c r="L264" s="41"/>
      <c r="M264" s="38" t="s">
        <v>99</v>
      </c>
      <c r="N264" s="43" t="s">
        <v>48</v>
      </c>
      <c r="O264" s="43"/>
      <c r="P264" s="41" t="s">
        <v>2196</v>
      </c>
      <c r="Q264" s="41" t="s">
        <v>2197</v>
      </c>
      <c r="R264" s="50" t="s">
        <v>2198</v>
      </c>
      <c r="S264" s="38" t="s">
        <v>2199</v>
      </c>
      <c r="T264" s="38" t="s">
        <v>65</v>
      </c>
      <c r="U264" s="38" t="s">
        <v>2200</v>
      </c>
      <c r="V264" s="60">
        <v>43045</v>
      </c>
      <c r="W264" s="41" t="s">
        <v>2201</v>
      </c>
      <c r="X264" s="38" t="s">
        <v>2202</v>
      </c>
      <c r="Y264" s="38" t="s">
        <v>52</v>
      </c>
      <c r="Z264" s="38" t="s">
        <v>172</v>
      </c>
      <c r="AA264" s="38" t="s">
        <v>125</v>
      </c>
      <c r="AB264" s="38" t="s">
        <v>1599</v>
      </c>
      <c r="AC264" s="45"/>
      <c r="AD264" s="7"/>
      <c r="AE264" s="7"/>
      <c r="AF264" s="46"/>
      <c r="AG264" s="47"/>
      <c r="AH264" s="46"/>
      <c r="AI264" s="46"/>
    </row>
    <row r="265" spans="1:35" x14ac:dyDescent="0.25">
      <c r="A265" s="36">
        <v>258</v>
      </c>
      <c r="B265" s="37" t="s">
        <v>2203</v>
      </c>
      <c r="C265" s="38" t="s">
        <v>548</v>
      </c>
      <c r="D265" s="39">
        <v>36136</v>
      </c>
      <c r="E265" s="38" t="s">
        <v>40</v>
      </c>
      <c r="F265" s="38" t="s">
        <v>48</v>
      </c>
      <c r="G265" s="38" t="s">
        <v>2204</v>
      </c>
      <c r="H265" s="38" t="s">
        <v>113</v>
      </c>
      <c r="I265" s="38" t="s">
        <v>114</v>
      </c>
      <c r="J265" s="41" t="s">
        <v>2205</v>
      </c>
      <c r="K265" s="41" t="s">
        <v>2206</v>
      </c>
      <c r="L265" s="41"/>
      <c r="M265" s="38" t="s">
        <v>99</v>
      </c>
      <c r="N265" s="43" t="s">
        <v>2207</v>
      </c>
      <c r="O265" s="43" t="s">
        <v>428</v>
      </c>
      <c r="P265" s="41" t="s">
        <v>2208</v>
      </c>
      <c r="Q265" s="41" t="s">
        <v>2209</v>
      </c>
      <c r="R265" s="50" t="s">
        <v>2210</v>
      </c>
      <c r="S265" s="38" t="s">
        <v>2211</v>
      </c>
      <c r="T265" s="38" t="s">
        <v>152</v>
      </c>
      <c r="U265" s="38" t="s">
        <v>2212</v>
      </c>
      <c r="V265" s="60">
        <v>43045</v>
      </c>
      <c r="W265" s="41" t="s">
        <v>2213</v>
      </c>
      <c r="X265" s="38" t="s">
        <v>2214</v>
      </c>
      <c r="Y265" s="38" t="s">
        <v>52</v>
      </c>
      <c r="Z265" s="38" t="s">
        <v>416</v>
      </c>
      <c r="AA265" s="38" t="s">
        <v>125</v>
      </c>
      <c r="AB265" s="38" t="s">
        <v>1599</v>
      </c>
      <c r="AC265" s="45"/>
      <c r="AD265" s="7"/>
      <c r="AE265" s="7"/>
      <c r="AF265" s="46" t="str">
        <f>IF(R265="","",RIGHT(R265,LEN(R265)-FIND("@",R265)))</f>
        <v>gmail.com</v>
      </c>
      <c r="AG265" s="47">
        <f>LEN(R265)-LEN(SUBSTITUTE(R265," ",""))</f>
        <v>0</v>
      </c>
      <c r="AH265" s="46" t="str">
        <f>SUBSTITUTE(R265," ","")</f>
        <v>hasanabdillah07121998@gmail.com</v>
      </c>
      <c r="AI265" s="46">
        <f>LEN(AH265)-LEN(SUBSTITUTE(AH265," ",""))</f>
        <v>0</v>
      </c>
    </row>
    <row r="266" spans="1:35" x14ac:dyDescent="0.25">
      <c r="A266" s="36">
        <v>259</v>
      </c>
      <c r="B266" s="53" t="s">
        <v>2215</v>
      </c>
      <c r="C266" s="54" t="s">
        <v>1713</v>
      </c>
      <c r="D266" s="81">
        <v>35263</v>
      </c>
      <c r="E266" s="54" t="s">
        <v>40</v>
      </c>
      <c r="F266" s="53"/>
      <c r="G266" s="54" t="s">
        <v>2216</v>
      </c>
      <c r="H266" s="54"/>
      <c r="I266" s="54"/>
      <c r="J266" s="54" t="s">
        <v>2217</v>
      </c>
      <c r="K266" s="54"/>
      <c r="L266" s="54"/>
      <c r="M266" s="54"/>
      <c r="N266" s="54"/>
      <c r="O266" s="54"/>
      <c r="P266" s="54"/>
      <c r="Q266" s="54" t="s">
        <v>2218</v>
      </c>
      <c r="R266" s="57" t="s">
        <v>74</v>
      </c>
      <c r="S266" s="54" t="s">
        <v>2219</v>
      </c>
      <c r="T266" s="54"/>
      <c r="U266" s="54"/>
      <c r="V266" s="55">
        <v>43045</v>
      </c>
      <c r="W266" s="54"/>
      <c r="X266" s="54"/>
      <c r="Y266" s="54" t="s">
        <v>85</v>
      </c>
      <c r="Z266" s="54"/>
      <c r="AA266" s="54"/>
      <c r="AB266" s="54"/>
      <c r="AC266" s="58">
        <v>43137</v>
      </c>
      <c r="AD266" s="7"/>
      <c r="AE266" s="7"/>
      <c r="AF266" s="46"/>
      <c r="AG266" s="47"/>
      <c r="AH266" s="46"/>
      <c r="AI266" s="46"/>
    </row>
    <row r="267" spans="1:35" x14ac:dyDescent="0.25">
      <c r="A267" s="48">
        <v>260</v>
      </c>
      <c r="B267" s="53" t="s">
        <v>2220</v>
      </c>
      <c r="C267" s="54" t="s">
        <v>1266</v>
      </c>
      <c r="D267" s="55">
        <v>35722</v>
      </c>
      <c r="E267" s="54" t="s">
        <v>95</v>
      </c>
      <c r="F267" s="53"/>
      <c r="G267" s="54" t="s">
        <v>2221</v>
      </c>
      <c r="H267" s="54"/>
      <c r="I267" s="54"/>
      <c r="J267" s="54" t="s">
        <v>2222</v>
      </c>
      <c r="K267" s="54"/>
      <c r="L267" s="54"/>
      <c r="M267" s="54" t="s">
        <v>99</v>
      </c>
      <c r="N267" s="54"/>
      <c r="O267" s="54"/>
      <c r="P267" s="54"/>
      <c r="Q267" s="54" t="s">
        <v>2223</v>
      </c>
      <c r="R267" s="57" t="s">
        <v>74</v>
      </c>
      <c r="S267" s="54" t="s">
        <v>2224</v>
      </c>
      <c r="T267" s="54"/>
      <c r="U267" s="54" t="s">
        <v>2225</v>
      </c>
      <c r="V267" s="55">
        <v>43045</v>
      </c>
      <c r="W267" s="54"/>
      <c r="X267" s="54"/>
      <c r="Y267" s="54" t="s">
        <v>85</v>
      </c>
      <c r="Z267" s="54"/>
      <c r="AA267" s="54"/>
      <c r="AB267" s="54"/>
      <c r="AC267" s="58">
        <v>43770</v>
      </c>
      <c r="AD267" s="7"/>
      <c r="AE267" s="7"/>
      <c r="AF267" s="46" t="str">
        <f>IF(R267="","",RIGHT(R267,LEN(R267)-FIND("@",R267)))</f>
        <v/>
      </c>
      <c r="AG267" s="47">
        <f>LEN(R267)-LEN(SUBSTITUTE(R267," ",""))</f>
        <v>0</v>
      </c>
      <c r="AH267" s="46" t="str">
        <f>SUBSTITUTE(R267," ","")</f>
        <v/>
      </c>
      <c r="AI267" s="46">
        <f>LEN(AH267)-LEN(SUBSTITUTE(AH267," ",""))</f>
        <v>0</v>
      </c>
    </row>
    <row r="268" spans="1:35" x14ac:dyDescent="0.25">
      <c r="A268" s="36">
        <v>261</v>
      </c>
      <c r="B268" s="37" t="s">
        <v>2226</v>
      </c>
      <c r="C268" s="38" t="s">
        <v>548</v>
      </c>
      <c r="D268" s="39">
        <v>33970</v>
      </c>
      <c r="E268" s="38" t="s">
        <v>40</v>
      </c>
      <c r="F268" s="38"/>
      <c r="G268" s="38" t="s">
        <v>2227</v>
      </c>
      <c r="H268" s="38" t="s">
        <v>113</v>
      </c>
      <c r="I268" s="38" t="s">
        <v>44</v>
      </c>
      <c r="J268" s="41" t="s">
        <v>2228</v>
      </c>
      <c r="K268" s="41" t="s">
        <v>2229</v>
      </c>
      <c r="L268" s="43"/>
      <c r="M268" s="38" t="s">
        <v>133</v>
      </c>
      <c r="N268" s="43" t="s">
        <v>48</v>
      </c>
      <c r="O268" s="43"/>
      <c r="P268" s="41" t="s">
        <v>2230</v>
      </c>
      <c r="Q268" s="41" t="s">
        <v>2231</v>
      </c>
      <c r="R268" s="50" t="s">
        <v>2232</v>
      </c>
      <c r="S268" s="38" t="s">
        <v>2233</v>
      </c>
      <c r="T268" s="38" t="s">
        <v>152</v>
      </c>
      <c r="U268" s="38" t="s">
        <v>2234</v>
      </c>
      <c r="V268" s="60">
        <v>43046</v>
      </c>
      <c r="W268" s="41" t="s">
        <v>2235</v>
      </c>
      <c r="X268" s="38" t="s">
        <v>2236</v>
      </c>
      <c r="Y268" s="38" t="s">
        <v>52</v>
      </c>
      <c r="Z268" s="38" t="s">
        <v>416</v>
      </c>
      <c r="AA268" s="38" t="s">
        <v>777</v>
      </c>
      <c r="AB268" s="38" t="s">
        <v>778</v>
      </c>
      <c r="AC268" s="45"/>
      <c r="AD268" s="7"/>
      <c r="AE268" s="7"/>
      <c r="AF268" s="46" t="str">
        <f>IF(R268="","",RIGHT(R268,LEN(R268)-FIND("@",R268)))</f>
        <v>gmail.com</v>
      </c>
      <c r="AG268" s="47">
        <f>LEN(R268)-LEN(SUBSTITUTE(R268," ",""))</f>
        <v>0</v>
      </c>
      <c r="AH268" s="46" t="str">
        <f>SUBSTITUTE(R268," ","")</f>
        <v>adifaridlove@gmail.com</v>
      </c>
      <c r="AI268" s="46">
        <f>LEN(AH268)-LEN(SUBSTITUTE(AH268," ",""))</f>
        <v>0</v>
      </c>
    </row>
    <row r="269" spans="1:35" x14ac:dyDescent="0.25">
      <c r="A269" s="36">
        <v>262</v>
      </c>
      <c r="B269" s="53" t="s">
        <v>2237</v>
      </c>
      <c r="C269" s="54" t="s">
        <v>2238</v>
      </c>
      <c r="D269" s="55">
        <v>36160</v>
      </c>
      <c r="E269" s="54" t="s">
        <v>40</v>
      </c>
      <c r="F269" s="53"/>
      <c r="G269" s="54" t="s">
        <v>2239</v>
      </c>
      <c r="H269" s="54"/>
      <c r="I269" s="54"/>
      <c r="J269" s="54" t="s">
        <v>2240</v>
      </c>
      <c r="K269" s="54"/>
      <c r="L269" s="54"/>
      <c r="M269" s="54"/>
      <c r="N269" s="54"/>
      <c r="O269" s="54"/>
      <c r="P269" s="54"/>
      <c r="Q269" s="54" t="s">
        <v>2241</v>
      </c>
      <c r="R269" s="57" t="s">
        <v>74</v>
      </c>
      <c r="S269" s="54" t="s">
        <v>2242</v>
      </c>
      <c r="T269" s="54"/>
      <c r="U269" s="54"/>
      <c r="V269" s="55">
        <v>43048</v>
      </c>
      <c r="W269" s="54"/>
      <c r="X269" s="54"/>
      <c r="Y269" s="54" t="s">
        <v>85</v>
      </c>
      <c r="Z269" s="54"/>
      <c r="AA269" s="54"/>
      <c r="AB269" s="54"/>
      <c r="AC269" s="58">
        <v>43344</v>
      </c>
      <c r="AD269" s="7"/>
      <c r="AE269" s="7"/>
      <c r="AF269" s="46" t="str">
        <f>IF(R269="","",RIGHT(R269,LEN(R269)-FIND("@",R269)))</f>
        <v/>
      </c>
      <c r="AG269" s="47">
        <f>LEN(R269)-LEN(SUBSTITUTE(R269," ",""))</f>
        <v>0</v>
      </c>
      <c r="AH269" s="46" t="str">
        <f>SUBSTITUTE(R269," ","")</f>
        <v/>
      </c>
      <c r="AI269" s="46">
        <f>LEN(AH269)-LEN(SUBSTITUTE(AH269," ",""))</f>
        <v>0</v>
      </c>
    </row>
    <row r="270" spans="1:35" x14ac:dyDescent="0.25">
      <c r="A270" s="36">
        <v>263</v>
      </c>
      <c r="B270" s="53" t="s">
        <v>2243</v>
      </c>
      <c r="C270" s="54" t="s">
        <v>2244</v>
      </c>
      <c r="D270" s="55">
        <v>35886</v>
      </c>
      <c r="E270" s="54" t="s">
        <v>40</v>
      </c>
      <c r="F270" s="53"/>
      <c r="G270" s="54" t="s">
        <v>2245</v>
      </c>
      <c r="H270" s="54"/>
      <c r="I270" s="54"/>
      <c r="J270" s="54" t="s">
        <v>2246</v>
      </c>
      <c r="K270" s="54"/>
      <c r="L270" s="54"/>
      <c r="M270" s="54"/>
      <c r="N270" s="54"/>
      <c r="O270" s="54"/>
      <c r="P270" s="54"/>
      <c r="Q270" s="54" t="s">
        <v>2247</v>
      </c>
      <c r="R270" s="57" t="s">
        <v>74</v>
      </c>
      <c r="S270" s="54" t="s">
        <v>2248</v>
      </c>
      <c r="T270" s="54"/>
      <c r="U270" s="54" t="s">
        <v>2249</v>
      </c>
      <c r="V270" s="55">
        <v>43048</v>
      </c>
      <c r="W270" s="54"/>
      <c r="X270" s="54"/>
      <c r="Y270" s="54" t="s">
        <v>85</v>
      </c>
      <c r="Z270" s="54"/>
      <c r="AA270" s="54"/>
      <c r="AB270" s="54"/>
      <c r="AC270" s="58">
        <v>43628</v>
      </c>
      <c r="AD270" s="7"/>
      <c r="AE270" s="7"/>
      <c r="AF270" s="46"/>
      <c r="AG270" s="47"/>
      <c r="AH270" s="46"/>
      <c r="AI270" s="46"/>
    </row>
    <row r="271" spans="1:35" x14ac:dyDescent="0.25">
      <c r="A271" s="36">
        <v>264</v>
      </c>
      <c r="B271" s="53" t="s">
        <v>2250</v>
      </c>
      <c r="C271" s="54" t="s">
        <v>2251</v>
      </c>
      <c r="D271" s="55">
        <v>34334</v>
      </c>
      <c r="E271" s="54" t="s">
        <v>40</v>
      </c>
      <c r="F271" s="53"/>
      <c r="G271" s="54" t="s">
        <v>2252</v>
      </c>
      <c r="H271" s="54"/>
      <c r="I271" s="54"/>
      <c r="J271" s="54" t="s">
        <v>2253</v>
      </c>
      <c r="K271" s="54"/>
      <c r="L271" s="54"/>
      <c r="M271" s="54"/>
      <c r="N271" s="54"/>
      <c r="O271" s="54"/>
      <c r="P271" s="54"/>
      <c r="Q271" s="54" t="s">
        <v>2254</v>
      </c>
      <c r="R271" s="57" t="s">
        <v>74</v>
      </c>
      <c r="S271" s="54" t="s">
        <v>2255</v>
      </c>
      <c r="T271" s="54"/>
      <c r="U271" s="54"/>
      <c r="V271" s="55">
        <v>43052</v>
      </c>
      <c r="W271" s="54"/>
      <c r="X271" s="54"/>
      <c r="Y271" s="54" t="s">
        <v>85</v>
      </c>
      <c r="Z271" s="54"/>
      <c r="AA271" s="54"/>
      <c r="AB271" s="54"/>
      <c r="AC271" s="58">
        <v>43108</v>
      </c>
      <c r="AD271" s="7"/>
      <c r="AE271" s="7"/>
      <c r="AF271" s="46"/>
      <c r="AG271" s="47"/>
      <c r="AH271" s="46"/>
      <c r="AI271" s="46"/>
    </row>
    <row r="272" spans="1:35" x14ac:dyDescent="0.25">
      <c r="A272" s="36">
        <v>265</v>
      </c>
      <c r="B272" s="53" t="s">
        <v>2256</v>
      </c>
      <c r="C272" s="54" t="s">
        <v>1266</v>
      </c>
      <c r="D272" s="55">
        <v>34919</v>
      </c>
      <c r="E272" s="54" t="s">
        <v>40</v>
      </c>
      <c r="F272" s="53"/>
      <c r="G272" s="54" t="s">
        <v>2257</v>
      </c>
      <c r="H272" s="54"/>
      <c r="I272" s="54"/>
      <c r="J272" s="54" t="s">
        <v>2258</v>
      </c>
      <c r="K272" s="54"/>
      <c r="L272" s="54"/>
      <c r="M272" s="54"/>
      <c r="N272" s="54"/>
      <c r="O272" s="54"/>
      <c r="P272" s="54"/>
      <c r="Q272" s="54" t="s">
        <v>2259</v>
      </c>
      <c r="R272" s="57" t="s">
        <v>74</v>
      </c>
      <c r="S272" s="54" t="s">
        <v>2260</v>
      </c>
      <c r="T272" s="54"/>
      <c r="U272" s="54" t="s">
        <v>2261</v>
      </c>
      <c r="V272" s="55">
        <v>43052</v>
      </c>
      <c r="W272" s="54"/>
      <c r="X272" s="54"/>
      <c r="Y272" s="54" t="s">
        <v>85</v>
      </c>
      <c r="Z272" s="54"/>
      <c r="AA272" s="54"/>
      <c r="AB272" s="54"/>
      <c r="AC272" s="58">
        <v>43545</v>
      </c>
      <c r="AD272" s="7"/>
      <c r="AE272" s="7"/>
      <c r="AF272" s="46" t="str">
        <f>IF(R272="","",RIGHT(R272,LEN(R272)-FIND("@",R272)))</f>
        <v/>
      </c>
      <c r="AG272" s="47">
        <f>LEN(R272)-LEN(SUBSTITUTE(R272," ",""))</f>
        <v>0</v>
      </c>
      <c r="AH272" s="46" t="str">
        <f>SUBSTITUTE(R272," ","")</f>
        <v/>
      </c>
      <c r="AI272" s="46">
        <f>LEN(AH272)-LEN(SUBSTITUTE(AH272," ",""))</f>
        <v>0</v>
      </c>
    </row>
    <row r="273" spans="1:35" x14ac:dyDescent="0.25">
      <c r="A273" s="48">
        <v>266</v>
      </c>
      <c r="B273" s="37" t="s">
        <v>2262</v>
      </c>
      <c r="C273" s="38" t="s">
        <v>712</v>
      </c>
      <c r="D273" s="39">
        <v>34788</v>
      </c>
      <c r="E273" s="38" t="s">
        <v>40</v>
      </c>
      <c r="F273" s="40" t="s">
        <v>48</v>
      </c>
      <c r="G273" s="38" t="s">
        <v>2263</v>
      </c>
      <c r="H273" s="38" t="s">
        <v>72</v>
      </c>
      <c r="I273" s="38" t="s">
        <v>114</v>
      </c>
      <c r="J273" s="41" t="s">
        <v>2264</v>
      </c>
      <c r="K273" s="41"/>
      <c r="L273" s="43"/>
      <c r="M273" s="38" t="s">
        <v>99</v>
      </c>
      <c r="N273" s="43" t="s">
        <v>48</v>
      </c>
      <c r="O273" s="43"/>
      <c r="P273" s="41" t="s">
        <v>2265</v>
      </c>
      <c r="Q273" s="41" t="s">
        <v>2266</v>
      </c>
      <c r="R273" s="50" t="s">
        <v>2267</v>
      </c>
      <c r="S273" s="38" t="s">
        <v>2268</v>
      </c>
      <c r="T273" s="38" t="s">
        <v>613</v>
      </c>
      <c r="U273" s="38" t="s">
        <v>2269</v>
      </c>
      <c r="V273" s="60">
        <v>43053</v>
      </c>
      <c r="W273" s="41" t="s">
        <v>2270</v>
      </c>
      <c r="X273" s="38" t="s">
        <v>2271</v>
      </c>
      <c r="Y273" s="38" t="s">
        <v>52</v>
      </c>
      <c r="Z273" s="38" t="s">
        <v>156</v>
      </c>
      <c r="AA273" s="38" t="s">
        <v>125</v>
      </c>
      <c r="AB273" s="38" t="s">
        <v>884</v>
      </c>
      <c r="AC273" s="45"/>
      <c r="AD273" s="7"/>
      <c r="AE273" s="7"/>
      <c r="AF273" s="46"/>
      <c r="AG273" s="47"/>
      <c r="AH273" s="46"/>
      <c r="AI273" s="46"/>
    </row>
    <row r="274" spans="1:35" x14ac:dyDescent="0.25">
      <c r="A274" s="36">
        <v>267</v>
      </c>
      <c r="B274" s="53" t="s">
        <v>2272</v>
      </c>
      <c r="C274" s="54" t="s">
        <v>1713</v>
      </c>
      <c r="D274" s="55">
        <v>36151</v>
      </c>
      <c r="E274" s="54" t="s">
        <v>95</v>
      </c>
      <c r="F274" s="53"/>
      <c r="G274" s="54" t="s">
        <v>2273</v>
      </c>
      <c r="H274" s="54"/>
      <c r="I274" s="54"/>
      <c r="J274" s="54" t="s">
        <v>2274</v>
      </c>
      <c r="K274" s="54"/>
      <c r="L274" s="54"/>
      <c r="M274" s="54" t="s">
        <v>99</v>
      </c>
      <c r="N274" s="54"/>
      <c r="O274" s="54"/>
      <c r="P274" s="54"/>
      <c r="Q274" s="54" t="s">
        <v>2275</v>
      </c>
      <c r="R274" s="57" t="s">
        <v>74</v>
      </c>
      <c r="S274" s="54" t="s">
        <v>2276</v>
      </c>
      <c r="T274" s="54"/>
      <c r="U274" s="54" t="s">
        <v>2277</v>
      </c>
      <c r="V274" s="55">
        <v>43053</v>
      </c>
      <c r="W274" s="54"/>
      <c r="X274" s="54"/>
      <c r="Y274" s="54" t="s">
        <v>85</v>
      </c>
      <c r="Z274" s="54"/>
      <c r="AA274" s="54"/>
      <c r="AB274" s="54"/>
      <c r="AC274" s="58" t="s">
        <v>2190</v>
      </c>
      <c r="AD274" s="7"/>
      <c r="AE274" s="7"/>
      <c r="AF274" s="46"/>
      <c r="AG274" s="47"/>
      <c r="AH274" s="46"/>
      <c r="AI274" s="46"/>
    </row>
    <row r="275" spans="1:35" x14ac:dyDescent="0.25">
      <c r="A275" s="36">
        <v>268</v>
      </c>
      <c r="B275" s="37" t="s">
        <v>2278</v>
      </c>
      <c r="C275" s="38" t="s">
        <v>2279</v>
      </c>
      <c r="D275" s="39">
        <v>35893</v>
      </c>
      <c r="E275" s="38" t="s">
        <v>95</v>
      </c>
      <c r="F275" s="38" t="s">
        <v>129</v>
      </c>
      <c r="G275" s="38" t="s">
        <v>2280</v>
      </c>
      <c r="H275" s="38" t="s">
        <v>72</v>
      </c>
      <c r="I275" s="38" t="s">
        <v>114</v>
      </c>
      <c r="J275" s="41" t="s">
        <v>2281</v>
      </c>
      <c r="K275" s="41" t="s">
        <v>2282</v>
      </c>
      <c r="L275" s="41"/>
      <c r="M275" s="38" t="s">
        <v>99</v>
      </c>
      <c r="N275" s="43" t="s">
        <v>2283</v>
      </c>
      <c r="O275" s="43" t="s">
        <v>76</v>
      </c>
      <c r="P275" s="41" t="s">
        <v>2284</v>
      </c>
      <c r="Q275" s="41" t="s">
        <v>2285</v>
      </c>
      <c r="R275" s="50" t="s">
        <v>2286</v>
      </c>
      <c r="S275" s="38" t="s">
        <v>2287</v>
      </c>
      <c r="T275" s="38" t="s">
        <v>2110</v>
      </c>
      <c r="U275" s="38">
        <v>85237868061</v>
      </c>
      <c r="V275" s="60">
        <v>43059</v>
      </c>
      <c r="W275" s="41" t="s">
        <v>2288</v>
      </c>
      <c r="X275" s="38" t="s">
        <v>2289</v>
      </c>
      <c r="Y275" s="38" t="s">
        <v>52</v>
      </c>
      <c r="Z275" s="38" t="s">
        <v>396</v>
      </c>
      <c r="AA275" s="38" t="s">
        <v>227</v>
      </c>
      <c r="AB275" s="38" t="s">
        <v>55</v>
      </c>
      <c r="AC275" s="45"/>
      <c r="AD275" s="7"/>
      <c r="AE275" s="7"/>
      <c r="AF275" s="46"/>
      <c r="AG275" s="47"/>
      <c r="AH275" s="46"/>
      <c r="AI275" s="46"/>
    </row>
    <row r="276" spans="1:35" x14ac:dyDescent="0.25">
      <c r="A276" s="36">
        <v>269</v>
      </c>
      <c r="B276" s="53" t="s">
        <v>2290</v>
      </c>
      <c r="C276" s="54" t="s">
        <v>548</v>
      </c>
      <c r="D276" s="55">
        <v>35407</v>
      </c>
      <c r="E276" s="54" t="s">
        <v>40</v>
      </c>
      <c r="F276" s="69" t="s">
        <v>48</v>
      </c>
      <c r="G276" s="54" t="s">
        <v>2291</v>
      </c>
      <c r="H276" s="54" t="s">
        <v>113</v>
      </c>
      <c r="I276" s="54" t="s">
        <v>114</v>
      </c>
      <c r="J276" s="66" t="s">
        <v>2292</v>
      </c>
      <c r="K276" s="66" t="s">
        <v>2293</v>
      </c>
      <c r="L276" s="68"/>
      <c r="M276" s="54" t="s">
        <v>99</v>
      </c>
      <c r="N276" s="68" t="s">
        <v>48</v>
      </c>
      <c r="O276" s="68"/>
      <c r="P276" s="66" t="s">
        <v>2294</v>
      </c>
      <c r="Q276" s="68" t="s">
        <v>2295</v>
      </c>
      <c r="R276" s="57" t="s">
        <v>2296</v>
      </c>
      <c r="S276" s="54" t="s">
        <v>2297</v>
      </c>
      <c r="T276" s="54" t="s">
        <v>337</v>
      </c>
      <c r="U276" s="69" t="s">
        <v>2298</v>
      </c>
      <c r="V276" s="72">
        <v>43069</v>
      </c>
      <c r="W276" s="66" t="s">
        <v>2299</v>
      </c>
      <c r="X276" s="54" t="s">
        <v>2300</v>
      </c>
      <c r="Y276" s="54" t="s">
        <v>85</v>
      </c>
      <c r="Z276" s="54" t="s">
        <v>156</v>
      </c>
      <c r="AA276" s="54" t="s">
        <v>125</v>
      </c>
      <c r="AB276" s="54" t="s">
        <v>140</v>
      </c>
      <c r="AC276" s="58">
        <v>43994</v>
      </c>
      <c r="AD276" s="7"/>
      <c r="AE276" s="7"/>
      <c r="AF276" s="46" t="str">
        <f>IF(R276="","",RIGHT(R276,LEN(R276)-FIND("@",R276)))</f>
        <v>gmail.com</v>
      </c>
      <c r="AG276" s="47">
        <f>LEN(R276)-LEN(SUBSTITUTE(R276," ",""))</f>
        <v>0</v>
      </c>
      <c r="AH276" s="46" t="str">
        <f>SUBSTITUTE(R276," ","")</f>
        <v>lemankancil014@gmail.com</v>
      </c>
      <c r="AI276" s="46">
        <f>LEN(AH276)-LEN(SUBSTITUTE(AH276," ",""))</f>
        <v>0</v>
      </c>
    </row>
    <row r="277" spans="1:35" x14ac:dyDescent="0.25">
      <c r="A277" s="36">
        <v>270</v>
      </c>
      <c r="B277" s="53" t="s">
        <v>2301</v>
      </c>
      <c r="C277" s="54" t="s">
        <v>2302</v>
      </c>
      <c r="D277" s="55">
        <v>35291</v>
      </c>
      <c r="E277" s="54" t="s">
        <v>40</v>
      </c>
      <c r="F277" s="53"/>
      <c r="G277" s="54" t="s">
        <v>2303</v>
      </c>
      <c r="H277" s="54"/>
      <c r="I277" s="54"/>
      <c r="J277" s="54" t="s">
        <v>2304</v>
      </c>
      <c r="K277" s="54"/>
      <c r="L277" s="54"/>
      <c r="M277" s="54"/>
      <c r="N277" s="54"/>
      <c r="O277" s="54"/>
      <c r="P277" s="54"/>
      <c r="Q277" s="54" t="s">
        <v>2305</v>
      </c>
      <c r="R277" s="57" t="s">
        <v>74</v>
      </c>
      <c r="S277" s="54" t="s">
        <v>2303</v>
      </c>
      <c r="T277" s="54"/>
      <c r="U277" s="54"/>
      <c r="V277" s="55">
        <v>43070</v>
      </c>
      <c r="W277" s="54"/>
      <c r="X277" s="54"/>
      <c r="Y277" s="54" t="s">
        <v>85</v>
      </c>
      <c r="Z277" s="54"/>
      <c r="AA277" s="54"/>
      <c r="AB277" s="54"/>
      <c r="AC277" s="58">
        <v>43282</v>
      </c>
      <c r="AD277" s="7"/>
      <c r="AE277" s="7"/>
      <c r="AF277" s="46"/>
      <c r="AG277" s="47"/>
      <c r="AH277" s="46"/>
      <c r="AI277" s="46"/>
    </row>
    <row r="278" spans="1:35" x14ac:dyDescent="0.25">
      <c r="A278" s="36">
        <v>271</v>
      </c>
      <c r="B278" s="53" t="s">
        <v>2306</v>
      </c>
      <c r="C278" s="54" t="s">
        <v>2307</v>
      </c>
      <c r="D278" s="55">
        <v>33100</v>
      </c>
      <c r="E278" s="54" t="s">
        <v>40</v>
      </c>
      <c r="F278" s="53"/>
      <c r="G278" s="54" t="s">
        <v>2308</v>
      </c>
      <c r="H278" s="54"/>
      <c r="I278" s="54"/>
      <c r="J278" s="54" t="s">
        <v>2309</v>
      </c>
      <c r="K278" s="54"/>
      <c r="L278" s="54"/>
      <c r="M278" s="54"/>
      <c r="N278" s="54"/>
      <c r="O278" s="54"/>
      <c r="P278" s="54"/>
      <c r="Q278" s="54" t="s">
        <v>2310</v>
      </c>
      <c r="R278" s="57" t="s">
        <v>74</v>
      </c>
      <c r="S278" s="54" t="s">
        <v>2311</v>
      </c>
      <c r="T278" s="54"/>
      <c r="U278" s="54" t="s">
        <v>2312</v>
      </c>
      <c r="V278" s="55">
        <v>43073</v>
      </c>
      <c r="W278" s="54"/>
      <c r="X278" s="54"/>
      <c r="Y278" s="54" t="s">
        <v>85</v>
      </c>
      <c r="Z278" s="54"/>
      <c r="AA278" s="54"/>
      <c r="AB278" s="54"/>
      <c r="AC278" s="58">
        <v>43554</v>
      </c>
      <c r="AD278" s="7"/>
      <c r="AE278" s="7"/>
      <c r="AF278" s="46"/>
      <c r="AG278" s="47"/>
      <c r="AH278" s="46"/>
      <c r="AI278" s="46"/>
    </row>
    <row r="279" spans="1:35" x14ac:dyDescent="0.25">
      <c r="A279" s="48">
        <v>272</v>
      </c>
      <c r="B279" s="53" t="s">
        <v>2313</v>
      </c>
      <c r="C279" s="54" t="s">
        <v>2314</v>
      </c>
      <c r="D279" s="55">
        <v>35191</v>
      </c>
      <c r="E279" s="54" t="s">
        <v>40</v>
      </c>
      <c r="F279" s="53"/>
      <c r="G279" s="54" t="s">
        <v>2315</v>
      </c>
      <c r="H279" s="54"/>
      <c r="I279" s="54"/>
      <c r="J279" s="54" t="s">
        <v>2316</v>
      </c>
      <c r="K279" s="54"/>
      <c r="L279" s="54"/>
      <c r="M279" s="54"/>
      <c r="N279" s="54"/>
      <c r="O279" s="54"/>
      <c r="P279" s="54"/>
      <c r="Q279" s="54" t="s">
        <v>2317</v>
      </c>
      <c r="R279" s="57" t="s">
        <v>74</v>
      </c>
      <c r="S279" s="54" t="s">
        <v>2318</v>
      </c>
      <c r="T279" s="54"/>
      <c r="U279" s="54"/>
      <c r="V279" s="55">
        <v>43075</v>
      </c>
      <c r="W279" s="54"/>
      <c r="X279" s="54"/>
      <c r="Y279" s="54" t="s">
        <v>85</v>
      </c>
      <c r="Z279" s="54"/>
      <c r="AA279" s="54"/>
      <c r="AB279" s="54"/>
      <c r="AC279" s="58">
        <v>43100</v>
      </c>
      <c r="AD279" s="7"/>
      <c r="AE279" s="7"/>
      <c r="AF279" s="46" t="str">
        <f>IF(R279="","",RIGHT(R279,LEN(R279)-FIND("@",R279)))</f>
        <v/>
      </c>
      <c r="AG279" s="47">
        <f>LEN(R279)-LEN(SUBSTITUTE(R279," ",""))</f>
        <v>0</v>
      </c>
      <c r="AH279" s="46" t="str">
        <f>SUBSTITUTE(R279," ","")</f>
        <v/>
      </c>
      <c r="AI279" s="46">
        <f>LEN(AH279)-LEN(SUBSTITUTE(AH279," ",""))</f>
        <v>0</v>
      </c>
    </row>
    <row r="280" spans="1:35" x14ac:dyDescent="0.25">
      <c r="A280" s="36">
        <v>273</v>
      </c>
      <c r="B280" s="53" t="s">
        <v>2319</v>
      </c>
      <c r="C280" s="54" t="s">
        <v>2320</v>
      </c>
      <c r="D280" s="55">
        <v>31213</v>
      </c>
      <c r="E280" s="54" t="s">
        <v>95</v>
      </c>
      <c r="F280" s="53"/>
      <c r="G280" s="54" t="s">
        <v>2321</v>
      </c>
      <c r="H280" s="54"/>
      <c r="I280" s="54"/>
      <c r="J280" s="54" t="s">
        <v>2322</v>
      </c>
      <c r="K280" s="54"/>
      <c r="L280" s="54"/>
      <c r="M280" s="54" t="s">
        <v>99</v>
      </c>
      <c r="N280" s="54"/>
      <c r="O280" s="54"/>
      <c r="P280" s="54"/>
      <c r="Q280" s="54" t="s">
        <v>2323</v>
      </c>
      <c r="R280" s="57" t="s">
        <v>74</v>
      </c>
      <c r="S280" s="54"/>
      <c r="T280" s="54"/>
      <c r="U280" s="54"/>
      <c r="V280" s="55">
        <v>43076</v>
      </c>
      <c r="W280" s="54"/>
      <c r="X280" s="54"/>
      <c r="Y280" s="54" t="s">
        <v>85</v>
      </c>
      <c r="Z280" s="54"/>
      <c r="AA280" s="54"/>
      <c r="AB280" s="54"/>
      <c r="AC280" s="58">
        <v>43277</v>
      </c>
      <c r="AD280" s="7"/>
      <c r="AE280" s="7"/>
      <c r="AF280" s="46"/>
      <c r="AG280" s="47"/>
      <c r="AH280" s="46"/>
      <c r="AI280" s="46"/>
    </row>
    <row r="281" spans="1:35" x14ac:dyDescent="0.25">
      <c r="A281" s="36">
        <v>274</v>
      </c>
      <c r="B281" s="37" t="s">
        <v>2324</v>
      </c>
      <c r="C281" s="38" t="s">
        <v>328</v>
      </c>
      <c r="D281" s="39">
        <v>34516</v>
      </c>
      <c r="E281" s="38" t="s">
        <v>40</v>
      </c>
      <c r="F281" s="38" t="s">
        <v>48</v>
      </c>
      <c r="G281" s="38" t="s">
        <v>2325</v>
      </c>
      <c r="H281" s="38" t="s">
        <v>113</v>
      </c>
      <c r="I281" s="38" t="s">
        <v>114</v>
      </c>
      <c r="J281" s="41" t="s">
        <v>2326</v>
      </c>
      <c r="K281" s="41" t="s">
        <v>2327</v>
      </c>
      <c r="L281" s="41"/>
      <c r="M281" s="38" t="s">
        <v>99</v>
      </c>
      <c r="N281" s="41" t="s">
        <v>2328</v>
      </c>
      <c r="O281" s="41" t="s">
        <v>76</v>
      </c>
      <c r="P281" s="41" t="s">
        <v>2329</v>
      </c>
      <c r="Q281" s="41" t="s">
        <v>2330</v>
      </c>
      <c r="R281" s="50" t="s">
        <v>2331</v>
      </c>
      <c r="S281" s="38" t="s">
        <v>2332</v>
      </c>
      <c r="T281" s="38" t="s">
        <v>65</v>
      </c>
      <c r="U281" s="38" t="s">
        <v>2333</v>
      </c>
      <c r="V281" s="60">
        <v>43078</v>
      </c>
      <c r="W281" s="41" t="s">
        <v>2334</v>
      </c>
      <c r="X281" s="38" t="s">
        <v>2335</v>
      </c>
      <c r="Y281" s="38" t="s">
        <v>52</v>
      </c>
      <c r="Z281" s="38" t="s">
        <v>156</v>
      </c>
      <c r="AA281" s="38" t="s">
        <v>125</v>
      </c>
      <c r="AB281" s="38" t="s">
        <v>1599</v>
      </c>
      <c r="AC281" s="45"/>
      <c r="AD281" s="7"/>
      <c r="AE281" s="7"/>
      <c r="AF281" s="46"/>
      <c r="AG281" s="47"/>
      <c r="AH281" s="46"/>
      <c r="AI281" s="46"/>
    </row>
    <row r="282" spans="1:35" x14ac:dyDescent="0.25">
      <c r="A282" s="36">
        <v>275</v>
      </c>
      <c r="B282" s="53" t="s">
        <v>2336</v>
      </c>
      <c r="C282" s="54" t="s">
        <v>2337</v>
      </c>
      <c r="D282" s="55">
        <v>33471</v>
      </c>
      <c r="E282" s="54" t="s">
        <v>40</v>
      </c>
      <c r="F282" s="53"/>
      <c r="G282" s="54" t="s">
        <v>2338</v>
      </c>
      <c r="H282" s="54"/>
      <c r="I282" s="54"/>
      <c r="J282" s="54" t="s">
        <v>2339</v>
      </c>
      <c r="K282" s="54"/>
      <c r="L282" s="54"/>
      <c r="M282" s="54"/>
      <c r="N282" s="54"/>
      <c r="O282" s="54"/>
      <c r="P282" s="54"/>
      <c r="Q282" s="54" t="s">
        <v>2340</v>
      </c>
      <c r="R282" s="57" t="s">
        <v>74</v>
      </c>
      <c r="S282" s="54" t="s">
        <v>2338</v>
      </c>
      <c r="T282" s="54"/>
      <c r="U282" s="54"/>
      <c r="V282" s="55">
        <v>43083</v>
      </c>
      <c r="W282" s="54"/>
      <c r="X282" s="54"/>
      <c r="Y282" s="54" t="s">
        <v>85</v>
      </c>
      <c r="Z282" s="54"/>
      <c r="AA282" s="54"/>
      <c r="AB282" s="54"/>
      <c r="AC282" s="58">
        <v>43087</v>
      </c>
      <c r="AD282" s="7"/>
      <c r="AE282" s="7"/>
      <c r="AF282" s="46"/>
      <c r="AG282" s="47"/>
      <c r="AH282" s="46"/>
      <c r="AI282" s="46"/>
    </row>
    <row r="283" spans="1:35" x14ac:dyDescent="0.25">
      <c r="A283" s="36">
        <v>276</v>
      </c>
      <c r="B283" s="53" t="s">
        <v>2341</v>
      </c>
      <c r="C283" s="54" t="s">
        <v>2342</v>
      </c>
      <c r="D283" s="55">
        <v>34176</v>
      </c>
      <c r="E283" s="54" t="s">
        <v>40</v>
      </c>
      <c r="F283" s="53"/>
      <c r="G283" s="54"/>
      <c r="H283" s="54"/>
      <c r="I283" s="54"/>
      <c r="J283" s="54" t="s">
        <v>2343</v>
      </c>
      <c r="K283" s="54"/>
      <c r="L283" s="54"/>
      <c r="M283" s="54"/>
      <c r="N283" s="54"/>
      <c r="O283" s="54"/>
      <c r="P283" s="54"/>
      <c r="Q283" s="54" t="s">
        <v>2344</v>
      </c>
      <c r="R283" s="57" t="s">
        <v>74</v>
      </c>
      <c r="S283" s="54" t="s">
        <v>2345</v>
      </c>
      <c r="T283" s="54"/>
      <c r="U283" s="54" t="s">
        <v>2346</v>
      </c>
      <c r="V283" s="55">
        <v>43096</v>
      </c>
      <c r="W283" s="54"/>
      <c r="X283" s="54"/>
      <c r="Y283" s="54" t="s">
        <v>85</v>
      </c>
      <c r="Z283" s="54"/>
      <c r="AA283" s="54"/>
      <c r="AB283" s="54"/>
      <c r="AC283" s="58">
        <v>43360</v>
      </c>
      <c r="AD283" s="7"/>
      <c r="AE283" s="7"/>
      <c r="AF283" s="46"/>
      <c r="AG283" s="47"/>
      <c r="AH283" s="46"/>
      <c r="AI283" s="46"/>
    </row>
    <row r="284" spans="1:35" x14ac:dyDescent="0.25">
      <c r="A284" s="36">
        <v>277</v>
      </c>
      <c r="B284" s="53" t="s">
        <v>2347</v>
      </c>
      <c r="C284" s="54" t="s">
        <v>1102</v>
      </c>
      <c r="D284" s="55">
        <v>35416</v>
      </c>
      <c r="E284" s="54" t="s">
        <v>40</v>
      </c>
      <c r="F284" s="53"/>
      <c r="G284" s="54" t="s">
        <v>548</v>
      </c>
      <c r="H284" s="54"/>
      <c r="I284" s="54"/>
      <c r="J284" s="54" t="s">
        <v>2348</v>
      </c>
      <c r="K284" s="54"/>
      <c r="L284" s="54"/>
      <c r="M284" s="54"/>
      <c r="N284" s="54"/>
      <c r="O284" s="54"/>
      <c r="P284" s="54"/>
      <c r="Q284" s="54" t="s">
        <v>2349</v>
      </c>
      <c r="R284" s="57" t="s">
        <v>74</v>
      </c>
      <c r="S284" s="54" t="s">
        <v>2350</v>
      </c>
      <c r="T284" s="54"/>
      <c r="U284" s="54"/>
      <c r="V284" s="55">
        <v>43108</v>
      </c>
      <c r="W284" s="54"/>
      <c r="X284" s="54"/>
      <c r="Y284" s="54" t="s">
        <v>85</v>
      </c>
      <c r="Z284" s="54"/>
      <c r="AA284" s="54"/>
      <c r="AB284" s="54"/>
      <c r="AC284" s="58">
        <v>43329</v>
      </c>
      <c r="AD284" s="7"/>
      <c r="AE284" s="7"/>
      <c r="AF284" s="46"/>
      <c r="AG284" s="47"/>
      <c r="AH284" s="46"/>
      <c r="AI284" s="46"/>
    </row>
    <row r="285" spans="1:35" x14ac:dyDescent="0.25">
      <c r="A285" s="48">
        <v>278</v>
      </c>
      <c r="B285" s="37" t="s">
        <v>2351</v>
      </c>
      <c r="C285" s="38" t="s">
        <v>94</v>
      </c>
      <c r="D285" s="39">
        <v>36389</v>
      </c>
      <c r="E285" s="38" t="s">
        <v>40</v>
      </c>
      <c r="F285" s="38" t="s">
        <v>129</v>
      </c>
      <c r="G285" s="38" t="s">
        <v>2352</v>
      </c>
      <c r="H285" s="38" t="s">
        <v>2152</v>
      </c>
      <c r="I285" s="38" t="s">
        <v>114</v>
      </c>
      <c r="J285" s="41" t="s">
        <v>2353</v>
      </c>
      <c r="K285" s="41" t="s">
        <v>2353</v>
      </c>
      <c r="L285" s="41"/>
      <c r="M285" s="38" t="s">
        <v>99</v>
      </c>
      <c r="N285" s="43" t="s">
        <v>2354</v>
      </c>
      <c r="O285" s="43" t="s">
        <v>164</v>
      </c>
      <c r="P285" s="41" t="s">
        <v>2355</v>
      </c>
      <c r="Q285" s="41" t="s">
        <v>2356</v>
      </c>
      <c r="R285" s="50" t="s">
        <v>2357</v>
      </c>
      <c r="S285" s="38" t="s">
        <v>2358</v>
      </c>
      <c r="T285" s="38" t="s">
        <v>927</v>
      </c>
      <c r="U285" s="38" t="s">
        <v>2359</v>
      </c>
      <c r="V285" s="60">
        <v>43115</v>
      </c>
      <c r="W285" s="41" t="s">
        <v>2360</v>
      </c>
      <c r="X285" s="38" t="s">
        <v>2361</v>
      </c>
      <c r="Y285" s="38" t="s">
        <v>52</v>
      </c>
      <c r="Z285" s="38" t="s">
        <v>396</v>
      </c>
      <c r="AA285" s="38" t="s">
        <v>1640</v>
      </c>
      <c r="AB285" s="38" t="s">
        <v>55</v>
      </c>
      <c r="AC285" s="45"/>
      <c r="AD285" s="7"/>
      <c r="AE285" s="7"/>
      <c r="AF285" s="46" t="str">
        <f>IF(R285="","",RIGHT(R285,LEN(R285)-FIND("@",R285)))</f>
        <v>gmail.com</v>
      </c>
      <c r="AG285" s="47">
        <f>LEN(R285)-LEN(SUBSTITUTE(R285," ",""))</f>
        <v>0</v>
      </c>
      <c r="AH285" s="46" t="str">
        <f>SUBSTITUTE(R285," ","")</f>
        <v>andikaputrahartana99@gmail.com</v>
      </c>
      <c r="AI285" s="46">
        <f>LEN(AH285)-LEN(SUBSTITUTE(AH285," ",""))</f>
        <v>0</v>
      </c>
    </row>
    <row r="286" spans="1:35" x14ac:dyDescent="0.25">
      <c r="A286" s="36">
        <v>279</v>
      </c>
      <c r="B286" s="53" t="s">
        <v>2362</v>
      </c>
      <c r="C286" s="54" t="s">
        <v>548</v>
      </c>
      <c r="D286" s="55">
        <v>34405</v>
      </c>
      <c r="E286" s="54" t="s">
        <v>95</v>
      </c>
      <c r="F286" s="53"/>
      <c r="G286" s="54" t="s">
        <v>2363</v>
      </c>
      <c r="H286" s="54"/>
      <c r="I286" s="54"/>
      <c r="J286" s="54" t="s">
        <v>2364</v>
      </c>
      <c r="K286" s="54"/>
      <c r="L286" s="54"/>
      <c r="M286" s="54" t="s">
        <v>99</v>
      </c>
      <c r="N286" s="54"/>
      <c r="O286" s="54"/>
      <c r="P286" s="54"/>
      <c r="Q286" s="54" t="s">
        <v>2365</v>
      </c>
      <c r="R286" s="57" t="s">
        <v>74</v>
      </c>
      <c r="S286" s="54" t="s">
        <v>2366</v>
      </c>
      <c r="T286" s="54"/>
      <c r="U286" s="54"/>
      <c r="V286" s="55">
        <v>43115</v>
      </c>
      <c r="W286" s="54"/>
      <c r="X286" s="54"/>
      <c r="Y286" s="54" t="s">
        <v>85</v>
      </c>
      <c r="Z286" s="54"/>
      <c r="AA286" s="54"/>
      <c r="AB286" s="54"/>
      <c r="AC286" s="58">
        <v>43129</v>
      </c>
      <c r="AD286" s="7"/>
      <c r="AE286" s="7"/>
      <c r="AF286" s="46"/>
      <c r="AG286" s="47"/>
      <c r="AH286" s="46"/>
      <c r="AI286" s="46"/>
    </row>
    <row r="287" spans="1:35" x14ac:dyDescent="0.25">
      <c r="A287" s="36">
        <v>280</v>
      </c>
      <c r="B287" s="37" t="s">
        <v>2367</v>
      </c>
      <c r="C287" s="38" t="s">
        <v>2368</v>
      </c>
      <c r="D287" s="39">
        <v>34615</v>
      </c>
      <c r="E287" s="38" t="s">
        <v>40</v>
      </c>
      <c r="F287" s="40" t="s">
        <v>48</v>
      </c>
      <c r="G287" s="38" t="s">
        <v>2369</v>
      </c>
      <c r="H287" s="38" t="s">
        <v>113</v>
      </c>
      <c r="I287" s="38" t="s">
        <v>2370</v>
      </c>
      <c r="J287" s="41" t="s">
        <v>2371</v>
      </c>
      <c r="K287" s="41"/>
      <c r="L287" s="43"/>
      <c r="M287" s="38" t="s">
        <v>99</v>
      </c>
      <c r="N287" s="43" t="s">
        <v>2372</v>
      </c>
      <c r="O287" s="43" t="s">
        <v>147</v>
      </c>
      <c r="P287" s="43" t="s">
        <v>2373</v>
      </c>
      <c r="Q287" s="41"/>
      <c r="R287" s="50" t="s">
        <v>2374</v>
      </c>
      <c r="S287" s="38" t="s">
        <v>2375</v>
      </c>
      <c r="T287" s="38"/>
      <c r="U287" s="38"/>
      <c r="V287" s="60">
        <v>43129</v>
      </c>
      <c r="W287" s="41" t="s">
        <v>2376</v>
      </c>
      <c r="X287" s="38" t="s">
        <v>2377</v>
      </c>
      <c r="Y287" s="38" t="s">
        <v>52</v>
      </c>
      <c r="Z287" s="38" t="s">
        <v>898</v>
      </c>
      <c r="AA287" s="38" t="s">
        <v>777</v>
      </c>
      <c r="AB287" s="38" t="s">
        <v>778</v>
      </c>
      <c r="AC287" s="45"/>
      <c r="AD287" s="7"/>
      <c r="AE287" s="7"/>
      <c r="AF287" s="46"/>
      <c r="AG287" s="47"/>
      <c r="AH287" s="46"/>
      <c r="AI287" s="46"/>
    </row>
    <row r="288" spans="1:35" x14ac:dyDescent="0.25">
      <c r="A288" s="36">
        <v>281</v>
      </c>
      <c r="B288" s="53" t="s">
        <v>2378</v>
      </c>
      <c r="C288" s="54" t="s">
        <v>2379</v>
      </c>
      <c r="D288" s="55">
        <v>33141</v>
      </c>
      <c r="E288" s="54" t="s">
        <v>40</v>
      </c>
      <c r="F288" s="53"/>
      <c r="G288" s="54" t="s">
        <v>2380</v>
      </c>
      <c r="H288" s="54"/>
      <c r="I288" s="54"/>
      <c r="J288" s="54" t="s">
        <v>2381</v>
      </c>
      <c r="K288" s="54"/>
      <c r="L288" s="54"/>
      <c r="M288" s="54"/>
      <c r="N288" s="54"/>
      <c r="O288" s="54"/>
      <c r="P288" s="54"/>
      <c r="Q288" s="54" t="s">
        <v>2382</v>
      </c>
      <c r="R288" s="57" t="s">
        <v>74</v>
      </c>
      <c r="S288" s="54" t="s">
        <v>2383</v>
      </c>
      <c r="T288" s="54"/>
      <c r="U288" s="54"/>
      <c r="V288" s="55">
        <v>43129</v>
      </c>
      <c r="W288" s="54"/>
      <c r="X288" s="54"/>
      <c r="Y288" s="54" t="s">
        <v>85</v>
      </c>
      <c r="Z288" s="54"/>
      <c r="AA288" s="54"/>
      <c r="AB288" s="54"/>
      <c r="AC288" s="58">
        <v>43206</v>
      </c>
      <c r="AD288" s="7"/>
      <c r="AE288" s="7"/>
      <c r="AF288" s="46"/>
      <c r="AG288" s="47"/>
      <c r="AH288" s="46"/>
      <c r="AI288" s="46"/>
    </row>
    <row r="289" spans="1:35" x14ac:dyDescent="0.25">
      <c r="A289" s="36">
        <v>282</v>
      </c>
      <c r="B289" s="53" t="s">
        <v>2384</v>
      </c>
      <c r="C289" s="54" t="s">
        <v>2385</v>
      </c>
      <c r="D289" s="55">
        <v>36385</v>
      </c>
      <c r="E289" s="54" t="s">
        <v>40</v>
      </c>
      <c r="F289" s="53"/>
      <c r="G289" s="54" t="s">
        <v>2386</v>
      </c>
      <c r="H289" s="54"/>
      <c r="I289" s="54"/>
      <c r="J289" s="54" t="s">
        <v>2387</v>
      </c>
      <c r="K289" s="54"/>
      <c r="L289" s="54"/>
      <c r="M289" s="54"/>
      <c r="N289" s="54"/>
      <c r="O289" s="54"/>
      <c r="P289" s="54"/>
      <c r="Q289" s="54" t="s">
        <v>2388</v>
      </c>
      <c r="R289" s="57" t="s">
        <v>74</v>
      </c>
      <c r="S289" s="54" t="s">
        <v>2389</v>
      </c>
      <c r="T289" s="54"/>
      <c r="U289" s="54" t="s">
        <v>2390</v>
      </c>
      <c r="V289" s="55">
        <v>43132</v>
      </c>
      <c r="W289" s="54"/>
      <c r="X289" s="54"/>
      <c r="Y289" s="54" t="s">
        <v>85</v>
      </c>
      <c r="Z289" s="54"/>
      <c r="AA289" s="54"/>
      <c r="AB289" s="54"/>
      <c r="AC289" s="58">
        <v>43814</v>
      </c>
      <c r="AD289" s="7"/>
      <c r="AE289" s="7"/>
      <c r="AF289" s="46" t="str">
        <f>IF(R289="","",RIGHT(R289,LEN(R289)-FIND("@",R289)))</f>
        <v/>
      </c>
      <c r="AG289" s="47">
        <f>LEN(R289)-LEN(SUBSTITUTE(R289," ",""))</f>
        <v>0</v>
      </c>
      <c r="AH289" s="46" t="str">
        <f>SUBSTITUTE(R289," ","")</f>
        <v/>
      </c>
      <c r="AI289" s="46">
        <f>LEN(AH289)-LEN(SUBSTITUTE(AH289," ",""))</f>
        <v>0</v>
      </c>
    </row>
    <row r="290" spans="1:35" x14ac:dyDescent="0.25">
      <c r="A290" s="36">
        <v>283</v>
      </c>
      <c r="B290" s="53" t="s">
        <v>2391</v>
      </c>
      <c r="C290" s="69" t="s">
        <v>2392</v>
      </c>
      <c r="D290" s="55">
        <v>35809</v>
      </c>
      <c r="E290" s="54" t="s">
        <v>40</v>
      </c>
      <c r="F290" s="54" t="s">
        <v>41</v>
      </c>
      <c r="G290" s="54" t="s">
        <v>2393</v>
      </c>
      <c r="H290" s="54" t="s">
        <v>113</v>
      </c>
      <c r="I290" s="54" t="s">
        <v>114</v>
      </c>
      <c r="J290" s="66" t="s">
        <v>2394</v>
      </c>
      <c r="K290" s="66" t="s">
        <v>2395</v>
      </c>
      <c r="L290" s="66"/>
      <c r="M290" s="54" t="s">
        <v>99</v>
      </c>
      <c r="N290" s="68" t="s">
        <v>2396</v>
      </c>
      <c r="O290" s="68" t="s">
        <v>76</v>
      </c>
      <c r="P290" s="66" t="s">
        <v>2397</v>
      </c>
      <c r="Q290" s="66" t="s">
        <v>2398</v>
      </c>
      <c r="R290" s="57" t="s">
        <v>2399</v>
      </c>
      <c r="S290" s="54" t="s">
        <v>2400</v>
      </c>
      <c r="T290" s="54" t="s">
        <v>152</v>
      </c>
      <c r="U290" s="54">
        <v>85339459158</v>
      </c>
      <c r="V290" s="72">
        <v>43136</v>
      </c>
      <c r="W290" s="66" t="s">
        <v>2401</v>
      </c>
      <c r="X290" s="54" t="s">
        <v>2402</v>
      </c>
      <c r="Y290" s="54" t="s">
        <v>85</v>
      </c>
      <c r="Z290" s="54" t="s">
        <v>156</v>
      </c>
      <c r="AA290" s="54" t="s">
        <v>125</v>
      </c>
      <c r="AB290" s="54" t="s">
        <v>126</v>
      </c>
      <c r="AC290" s="58">
        <v>44014</v>
      </c>
      <c r="AD290" s="7"/>
      <c r="AE290" s="7"/>
      <c r="AF290" s="46"/>
      <c r="AG290" s="47"/>
      <c r="AH290" s="46"/>
      <c r="AI290" s="46"/>
    </row>
    <row r="291" spans="1:35" x14ac:dyDescent="0.25">
      <c r="A291" s="48">
        <v>284</v>
      </c>
      <c r="B291" s="53" t="s">
        <v>2403</v>
      </c>
      <c r="C291" s="54" t="s">
        <v>2404</v>
      </c>
      <c r="D291" s="55">
        <v>36108</v>
      </c>
      <c r="E291" s="54" t="s">
        <v>40</v>
      </c>
      <c r="F291" s="53"/>
      <c r="G291" s="54" t="s">
        <v>2405</v>
      </c>
      <c r="H291" s="54"/>
      <c r="I291" s="54"/>
      <c r="J291" s="54" t="s">
        <v>2406</v>
      </c>
      <c r="K291" s="54"/>
      <c r="L291" s="54"/>
      <c r="M291" s="54"/>
      <c r="N291" s="54"/>
      <c r="O291" s="54"/>
      <c r="P291" s="54"/>
      <c r="Q291" s="54" t="s">
        <v>2407</v>
      </c>
      <c r="R291" s="57" t="s">
        <v>74</v>
      </c>
      <c r="S291" s="54" t="s">
        <v>2408</v>
      </c>
      <c r="T291" s="54"/>
      <c r="U291" s="54"/>
      <c r="V291" s="55">
        <v>43143</v>
      </c>
      <c r="W291" s="54"/>
      <c r="X291" s="54"/>
      <c r="Y291" s="54" t="s">
        <v>85</v>
      </c>
      <c r="Z291" s="54"/>
      <c r="AA291" s="54"/>
      <c r="AB291" s="54"/>
      <c r="AC291" s="58">
        <v>43190</v>
      </c>
      <c r="AD291" s="7"/>
      <c r="AE291" s="7"/>
      <c r="AF291" s="46"/>
      <c r="AG291" s="47"/>
      <c r="AH291" s="46"/>
      <c r="AI291" s="46"/>
    </row>
    <row r="292" spans="1:35" x14ac:dyDescent="0.25">
      <c r="A292" s="36">
        <v>285</v>
      </c>
      <c r="B292" s="53" t="s">
        <v>2409</v>
      </c>
      <c r="C292" s="54" t="s">
        <v>2410</v>
      </c>
      <c r="D292" s="55">
        <v>35185</v>
      </c>
      <c r="E292" s="54" t="s">
        <v>95</v>
      </c>
      <c r="F292" s="53"/>
      <c r="G292" s="54" t="s">
        <v>2411</v>
      </c>
      <c r="H292" s="54"/>
      <c r="I292" s="54"/>
      <c r="J292" s="54" t="s">
        <v>2412</v>
      </c>
      <c r="K292" s="54"/>
      <c r="L292" s="54"/>
      <c r="M292" s="54" t="s">
        <v>99</v>
      </c>
      <c r="N292" s="54"/>
      <c r="O292" s="54"/>
      <c r="P292" s="54"/>
      <c r="Q292" s="54" t="s">
        <v>2413</v>
      </c>
      <c r="R292" s="57" t="s">
        <v>74</v>
      </c>
      <c r="S292" s="54" t="s">
        <v>2411</v>
      </c>
      <c r="T292" s="54"/>
      <c r="U292" s="54" t="s">
        <v>2414</v>
      </c>
      <c r="V292" s="55">
        <v>43160</v>
      </c>
      <c r="W292" s="54"/>
      <c r="X292" s="54"/>
      <c r="Y292" s="54" t="s">
        <v>85</v>
      </c>
      <c r="Z292" s="54"/>
      <c r="AA292" s="54"/>
      <c r="AB292" s="54"/>
      <c r="AC292" s="58">
        <v>43827</v>
      </c>
      <c r="AD292" s="7"/>
      <c r="AE292" s="7"/>
      <c r="AF292" s="46" t="str">
        <f>IF(R292="","",RIGHT(R292,LEN(R292)-FIND("@",R292)))</f>
        <v/>
      </c>
      <c r="AG292" s="47">
        <f>LEN(R292)-LEN(SUBSTITUTE(R292," ",""))</f>
        <v>0</v>
      </c>
      <c r="AH292" s="46" t="str">
        <f>SUBSTITUTE(R292," ","")</f>
        <v/>
      </c>
      <c r="AI292" s="46">
        <f>LEN(AH292)-LEN(SUBSTITUTE(AH292," ",""))</f>
        <v>0</v>
      </c>
    </row>
    <row r="293" spans="1:35" x14ac:dyDescent="0.25">
      <c r="A293" s="36">
        <v>286</v>
      </c>
      <c r="B293" s="53" t="s">
        <v>2415</v>
      </c>
      <c r="C293" s="54" t="s">
        <v>267</v>
      </c>
      <c r="D293" s="55">
        <v>36279</v>
      </c>
      <c r="E293" s="54" t="s">
        <v>40</v>
      </c>
      <c r="F293" s="53"/>
      <c r="G293" s="54" t="s">
        <v>2416</v>
      </c>
      <c r="H293" s="54"/>
      <c r="I293" s="54"/>
      <c r="J293" s="54" t="s">
        <v>2417</v>
      </c>
      <c r="K293" s="54"/>
      <c r="L293" s="54"/>
      <c r="M293" s="54"/>
      <c r="N293" s="54"/>
      <c r="O293" s="54"/>
      <c r="P293" s="54"/>
      <c r="Q293" s="54" t="s">
        <v>2418</v>
      </c>
      <c r="R293" s="57" t="s">
        <v>74</v>
      </c>
      <c r="S293" s="54" t="s">
        <v>2419</v>
      </c>
      <c r="T293" s="54"/>
      <c r="U293" s="54"/>
      <c r="V293" s="55">
        <v>43160</v>
      </c>
      <c r="W293" s="54"/>
      <c r="X293" s="54"/>
      <c r="Y293" s="54" t="s">
        <v>85</v>
      </c>
      <c r="Z293" s="54"/>
      <c r="AA293" s="54"/>
      <c r="AB293" s="54"/>
      <c r="AC293" s="58">
        <v>43252</v>
      </c>
      <c r="AD293" s="7"/>
      <c r="AE293" s="7"/>
      <c r="AF293" s="46" t="str">
        <f>IF(R293="","",RIGHT(R293,LEN(R293)-FIND("@",R293)))</f>
        <v/>
      </c>
      <c r="AG293" s="47">
        <f>LEN(R293)-LEN(SUBSTITUTE(R293," ",""))</f>
        <v>0</v>
      </c>
      <c r="AH293" s="46" t="str">
        <f>SUBSTITUTE(R293," ","")</f>
        <v/>
      </c>
      <c r="AI293" s="46">
        <f>LEN(AH293)-LEN(SUBSTITUTE(AH293," ",""))</f>
        <v>0</v>
      </c>
    </row>
    <row r="294" spans="1:35" x14ac:dyDescent="0.25">
      <c r="A294" s="36">
        <v>287</v>
      </c>
      <c r="B294" s="53" t="s">
        <v>2420</v>
      </c>
      <c r="C294" s="54" t="s">
        <v>2421</v>
      </c>
      <c r="D294" s="55">
        <v>34844</v>
      </c>
      <c r="E294" s="54" t="s">
        <v>95</v>
      </c>
      <c r="F294" s="53"/>
      <c r="G294" s="54"/>
      <c r="H294" s="54"/>
      <c r="I294" s="54"/>
      <c r="J294" s="54" t="s">
        <v>2422</v>
      </c>
      <c r="K294" s="54"/>
      <c r="L294" s="54"/>
      <c r="M294" s="54" t="s">
        <v>99</v>
      </c>
      <c r="N294" s="54"/>
      <c r="O294" s="54"/>
      <c r="P294" s="54"/>
      <c r="Q294" s="54" t="s">
        <v>2423</v>
      </c>
      <c r="R294" s="57" t="s">
        <v>74</v>
      </c>
      <c r="S294" s="54" t="s">
        <v>2424</v>
      </c>
      <c r="T294" s="54"/>
      <c r="U294" s="54"/>
      <c r="V294" s="55">
        <v>43164</v>
      </c>
      <c r="W294" s="54"/>
      <c r="X294" s="54"/>
      <c r="Y294" s="54" t="s">
        <v>85</v>
      </c>
      <c r="Z294" s="54"/>
      <c r="AA294" s="54"/>
      <c r="AB294" s="54"/>
      <c r="AC294" s="58">
        <v>43301</v>
      </c>
      <c r="AD294" s="7"/>
      <c r="AE294" s="7"/>
      <c r="AF294" s="46"/>
      <c r="AG294" s="47"/>
      <c r="AH294" s="46"/>
      <c r="AI294" s="46"/>
    </row>
    <row r="295" spans="1:35" x14ac:dyDescent="0.25">
      <c r="A295" s="36">
        <v>288</v>
      </c>
      <c r="B295" s="37" t="s">
        <v>2425</v>
      </c>
      <c r="C295" s="38" t="s">
        <v>328</v>
      </c>
      <c r="D295" s="39">
        <v>36000</v>
      </c>
      <c r="E295" s="38" t="s">
        <v>40</v>
      </c>
      <c r="F295" s="40" t="s">
        <v>48</v>
      </c>
      <c r="G295" s="38" t="s">
        <v>2426</v>
      </c>
      <c r="H295" s="38" t="s">
        <v>113</v>
      </c>
      <c r="I295" s="38" t="s">
        <v>114</v>
      </c>
      <c r="J295" s="41" t="s">
        <v>2427</v>
      </c>
      <c r="K295" s="41" t="s">
        <v>2428</v>
      </c>
      <c r="L295" s="43"/>
      <c r="M295" s="38" t="s">
        <v>99</v>
      </c>
      <c r="N295" s="43" t="s">
        <v>2429</v>
      </c>
      <c r="O295" s="43" t="s">
        <v>76</v>
      </c>
      <c r="P295" s="41" t="s">
        <v>2430</v>
      </c>
      <c r="Q295" s="41" t="s">
        <v>2431</v>
      </c>
      <c r="R295" s="50" t="s">
        <v>2432</v>
      </c>
      <c r="S295" s="38" t="s">
        <v>2433</v>
      </c>
      <c r="T295" s="38" t="s">
        <v>613</v>
      </c>
      <c r="U295" s="38" t="s">
        <v>2434</v>
      </c>
      <c r="V295" s="60">
        <v>43171</v>
      </c>
      <c r="W295" s="41" t="s">
        <v>2435</v>
      </c>
      <c r="X295" s="38" t="s">
        <v>2436</v>
      </c>
      <c r="Y295" s="38" t="s">
        <v>52</v>
      </c>
      <c r="Z295" s="38" t="s">
        <v>1816</v>
      </c>
      <c r="AA295" s="38" t="s">
        <v>777</v>
      </c>
      <c r="AB295" s="38" t="s">
        <v>778</v>
      </c>
      <c r="AC295" s="45"/>
      <c r="AD295" s="7"/>
      <c r="AE295" s="7"/>
      <c r="AF295" s="46"/>
      <c r="AG295" s="47"/>
      <c r="AH295" s="46"/>
      <c r="AI295" s="46"/>
    </row>
    <row r="296" spans="1:35" x14ac:dyDescent="0.25">
      <c r="A296" s="36">
        <v>289</v>
      </c>
      <c r="B296" s="82" t="s">
        <v>2437</v>
      </c>
      <c r="C296" s="83" t="s">
        <v>2438</v>
      </c>
      <c r="D296" s="84">
        <v>35702</v>
      </c>
      <c r="E296" s="83" t="s">
        <v>40</v>
      </c>
      <c r="F296" s="82"/>
      <c r="G296" s="83" t="s">
        <v>2439</v>
      </c>
      <c r="H296" s="83"/>
      <c r="I296" s="83"/>
      <c r="J296" s="83" t="s">
        <v>2440</v>
      </c>
      <c r="K296" s="83"/>
      <c r="L296" s="83"/>
      <c r="M296" s="54"/>
      <c r="N296" s="83"/>
      <c r="O296" s="83"/>
      <c r="P296" s="83"/>
      <c r="Q296" s="83" t="s">
        <v>2441</v>
      </c>
      <c r="R296" s="57" t="s">
        <v>74</v>
      </c>
      <c r="S296" s="83" t="s">
        <v>2442</v>
      </c>
      <c r="T296" s="83"/>
      <c r="U296" s="83" t="s">
        <v>2443</v>
      </c>
      <c r="V296" s="84">
        <v>43171</v>
      </c>
      <c r="W296" s="83"/>
      <c r="X296" s="83"/>
      <c r="Y296" s="54" t="s">
        <v>85</v>
      </c>
      <c r="Z296" s="83"/>
      <c r="AA296" s="83"/>
      <c r="AB296" s="83"/>
      <c r="AC296" s="85">
        <v>43788</v>
      </c>
      <c r="AD296" s="7"/>
      <c r="AE296" s="7"/>
      <c r="AF296" s="46"/>
      <c r="AG296" s="47"/>
      <c r="AH296" s="46"/>
      <c r="AI296" s="46"/>
    </row>
    <row r="297" spans="1:35" x14ac:dyDescent="0.25">
      <c r="A297" s="48">
        <v>290</v>
      </c>
      <c r="B297" s="53" t="s">
        <v>2444</v>
      </c>
      <c r="C297" s="54" t="s">
        <v>2320</v>
      </c>
      <c r="D297" s="55">
        <v>33185</v>
      </c>
      <c r="E297" s="54" t="s">
        <v>95</v>
      </c>
      <c r="F297" s="53"/>
      <c r="G297" s="54" t="s">
        <v>2445</v>
      </c>
      <c r="H297" s="54"/>
      <c r="I297" s="54"/>
      <c r="J297" s="54" t="s">
        <v>2446</v>
      </c>
      <c r="K297" s="54"/>
      <c r="L297" s="54"/>
      <c r="M297" s="54" t="s">
        <v>99</v>
      </c>
      <c r="N297" s="54"/>
      <c r="O297" s="54"/>
      <c r="P297" s="54"/>
      <c r="Q297" s="54" t="s">
        <v>2447</v>
      </c>
      <c r="R297" s="57" t="s">
        <v>74</v>
      </c>
      <c r="S297" s="54" t="s">
        <v>2448</v>
      </c>
      <c r="T297" s="54"/>
      <c r="U297" s="54"/>
      <c r="V297" s="55">
        <v>43178</v>
      </c>
      <c r="W297" s="54"/>
      <c r="X297" s="54"/>
      <c r="Y297" s="54" t="s">
        <v>85</v>
      </c>
      <c r="Z297" s="54"/>
      <c r="AA297" s="54"/>
      <c r="AB297" s="54"/>
      <c r="AC297" s="58">
        <v>43252</v>
      </c>
      <c r="AD297" s="7"/>
      <c r="AE297" s="7"/>
      <c r="AF297" s="46" t="str">
        <f>IF(R297="","",RIGHT(R297,LEN(R297)-FIND("@",R297)))</f>
        <v/>
      </c>
      <c r="AG297" s="47">
        <f>LEN(R297)-LEN(SUBSTITUTE(R297," ",""))</f>
        <v>0</v>
      </c>
      <c r="AH297" s="46" t="str">
        <f>SUBSTITUTE(R297," ","")</f>
        <v/>
      </c>
      <c r="AI297" s="46">
        <f>LEN(AH297)-LEN(SUBSTITUTE(AH297," ",""))</f>
        <v>0</v>
      </c>
    </row>
    <row r="298" spans="1:35" x14ac:dyDescent="0.25">
      <c r="A298" s="36">
        <v>291</v>
      </c>
      <c r="B298" s="37" t="s">
        <v>2449</v>
      </c>
      <c r="C298" s="38" t="s">
        <v>2450</v>
      </c>
      <c r="D298" s="39">
        <v>30133</v>
      </c>
      <c r="E298" s="38" t="s">
        <v>40</v>
      </c>
      <c r="F298" s="38" t="s">
        <v>48</v>
      </c>
      <c r="G298" s="38" t="s">
        <v>2451</v>
      </c>
      <c r="H298" s="38" t="s">
        <v>510</v>
      </c>
      <c r="I298" s="38" t="s">
        <v>44</v>
      </c>
      <c r="J298" s="41" t="s">
        <v>2452</v>
      </c>
      <c r="K298" s="41" t="s">
        <v>2453</v>
      </c>
      <c r="L298" s="43"/>
      <c r="M298" s="38" t="s">
        <v>632</v>
      </c>
      <c r="N298" s="41" t="s">
        <v>2454</v>
      </c>
      <c r="O298" s="41" t="s">
        <v>76</v>
      </c>
      <c r="P298" s="41" t="s">
        <v>2455</v>
      </c>
      <c r="Q298" s="41" t="s">
        <v>2456</v>
      </c>
      <c r="R298" s="50" t="s">
        <v>2457</v>
      </c>
      <c r="S298" s="38" t="s">
        <v>2458</v>
      </c>
      <c r="T298" s="38" t="s">
        <v>65</v>
      </c>
      <c r="U298" s="38" t="s">
        <v>2459</v>
      </c>
      <c r="V298" s="60">
        <v>43181</v>
      </c>
      <c r="W298" s="41" t="s">
        <v>2460</v>
      </c>
      <c r="X298" s="38" t="s">
        <v>2461</v>
      </c>
      <c r="Y298" s="38" t="s">
        <v>52</v>
      </c>
      <c r="Z298" s="38" t="s">
        <v>156</v>
      </c>
      <c r="AA298" s="38" t="s">
        <v>125</v>
      </c>
      <c r="AB298" s="38" t="s">
        <v>246</v>
      </c>
      <c r="AC298" s="45"/>
      <c r="AD298" s="7"/>
      <c r="AE298" s="7"/>
      <c r="AF298" s="46" t="str">
        <f>IF(R298="","",RIGHT(R298,LEN(R298)-FIND("@",R298)))</f>
        <v>gmail.com</v>
      </c>
      <c r="AG298" s="47">
        <f>LEN(R298)-LEN(SUBSTITUTE(R298," ",""))</f>
        <v>0</v>
      </c>
      <c r="AH298" s="46" t="str">
        <f>SUBSTITUTE(R298," ","")</f>
        <v>martinianusmardin@gmail.com</v>
      </c>
      <c r="AI298" s="46">
        <f>LEN(AH298)-LEN(SUBSTITUTE(AH298," ",""))</f>
        <v>0</v>
      </c>
    </row>
    <row r="299" spans="1:35" x14ac:dyDescent="0.25">
      <c r="A299" s="36">
        <v>292</v>
      </c>
      <c r="B299" s="53" t="s">
        <v>2462</v>
      </c>
      <c r="C299" s="54" t="s">
        <v>2463</v>
      </c>
      <c r="D299" s="55">
        <v>34885</v>
      </c>
      <c r="E299" s="54" t="s">
        <v>40</v>
      </c>
      <c r="F299" s="53"/>
      <c r="G299" s="54" t="s">
        <v>2464</v>
      </c>
      <c r="H299" s="54"/>
      <c r="I299" s="54"/>
      <c r="J299" s="54" t="s">
        <v>2465</v>
      </c>
      <c r="K299" s="54"/>
      <c r="L299" s="54"/>
      <c r="M299" s="54"/>
      <c r="N299" s="54"/>
      <c r="O299" s="54"/>
      <c r="P299" s="54"/>
      <c r="Q299" s="54" t="s">
        <v>2466</v>
      </c>
      <c r="R299" s="57" t="s">
        <v>74</v>
      </c>
      <c r="S299" s="54" t="s">
        <v>2467</v>
      </c>
      <c r="T299" s="54"/>
      <c r="U299" s="54"/>
      <c r="V299" s="55">
        <v>43181</v>
      </c>
      <c r="W299" s="54"/>
      <c r="X299" s="54"/>
      <c r="Y299" s="54" t="s">
        <v>85</v>
      </c>
      <c r="Z299" s="54"/>
      <c r="AA299" s="54"/>
      <c r="AB299" s="54"/>
      <c r="AC299" s="58">
        <v>43252</v>
      </c>
      <c r="AD299" s="7"/>
      <c r="AE299" s="7"/>
      <c r="AF299" s="46"/>
      <c r="AG299" s="47"/>
      <c r="AH299" s="46"/>
      <c r="AI299" s="46"/>
    </row>
    <row r="300" spans="1:35" x14ac:dyDescent="0.25">
      <c r="A300" s="36">
        <v>293</v>
      </c>
      <c r="B300" s="53" t="s">
        <v>2468</v>
      </c>
      <c r="C300" s="54" t="s">
        <v>1266</v>
      </c>
      <c r="D300" s="55">
        <v>34246</v>
      </c>
      <c r="E300" s="54" t="s">
        <v>40</v>
      </c>
      <c r="F300" s="53"/>
      <c r="G300" s="54" t="s">
        <v>2469</v>
      </c>
      <c r="H300" s="54"/>
      <c r="I300" s="54"/>
      <c r="J300" s="54" t="s">
        <v>2470</v>
      </c>
      <c r="K300" s="54"/>
      <c r="L300" s="54"/>
      <c r="M300" s="54"/>
      <c r="N300" s="54"/>
      <c r="O300" s="54"/>
      <c r="P300" s="54"/>
      <c r="Q300" s="54" t="s">
        <v>2471</v>
      </c>
      <c r="R300" s="57" t="s">
        <v>74</v>
      </c>
      <c r="S300" s="54" t="s">
        <v>2469</v>
      </c>
      <c r="T300" s="54"/>
      <c r="U300" s="54" t="s">
        <v>2472</v>
      </c>
      <c r="V300" s="55">
        <v>43185</v>
      </c>
      <c r="W300" s="54"/>
      <c r="X300" s="54"/>
      <c r="Y300" s="54" t="s">
        <v>85</v>
      </c>
      <c r="Z300" s="54"/>
      <c r="AA300" s="54"/>
      <c r="AB300" s="54"/>
      <c r="AC300" s="58">
        <v>43738</v>
      </c>
      <c r="AD300" s="7"/>
      <c r="AE300" s="7"/>
      <c r="AF300" s="46"/>
      <c r="AG300" s="47"/>
      <c r="AH300" s="46"/>
      <c r="AI300" s="46"/>
    </row>
    <row r="301" spans="1:35" x14ac:dyDescent="0.25">
      <c r="A301" s="36">
        <v>294</v>
      </c>
      <c r="B301" s="37" t="s">
        <v>2473</v>
      </c>
      <c r="C301" s="38" t="s">
        <v>2474</v>
      </c>
      <c r="D301" s="39">
        <v>35511</v>
      </c>
      <c r="E301" s="38" t="s">
        <v>95</v>
      </c>
      <c r="F301" s="40" t="s">
        <v>48</v>
      </c>
      <c r="G301" s="38" t="s">
        <v>2475</v>
      </c>
      <c r="H301" s="38" t="s">
        <v>113</v>
      </c>
      <c r="I301" s="38" t="s">
        <v>114</v>
      </c>
      <c r="J301" s="41" t="s">
        <v>2476</v>
      </c>
      <c r="K301" s="41" t="s">
        <v>2477</v>
      </c>
      <c r="L301" s="43"/>
      <c r="M301" s="38" t="s">
        <v>99</v>
      </c>
      <c r="N301" s="43" t="s">
        <v>2478</v>
      </c>
      <c r="O301" s="43" t="s">
        <v>428</v>
      </c>
      <c r="P301" s="41" t="s">
        <v>2479</v>
      </c>
      <c r="Q301" s="41" t="s">
        <v>2480</v>
      </c>
      <c r="R301" s="50" t="s">
        <v>2481</v>
      </c>
      <c r="S301" s="38" t="s">
        <v>2482</v>
      </c>
      <c r="T301" s="38" t="s">
        <v>65</v>
      </c>
      <c r="U301" s="40" t="s">
        <v>2483</v>
      </c>
      <c r="V301" s="60">
        <v>43187</v>
      </c>
      <c r="W301" s="41" t="s">
        <v>2484</v>
      </c>
      <c r="X301" s="38" t="s">
        <v>2485</v>
      </c>
      <c r="Y301" s="38" t="s">
        <v>52</v>
      </c>
      <c r="Z301" s="38" t="s">
        <v>172</v>
      </c>
      <c r="AA301" s="38" t="s">
        <v>125</v>
      </c>
      <c r="AB301" s="38" t="s">
        <v>994</v>
      </c>
      <c r="AC301" s="45"/>
      <c r="AD301" s="7"/>
      <c r="AE301" s="7"/>
      <c r="AF301" s="46"/>
      <c r="AG301" s="47"/>
      <c r="AH301" s="46"/>
      <c r="AI301" s="46"/>
    </row>
    <row r="302" spans="1:35" x14ac:dyDescent="0.25">
      <c r="A302" s="36">
        <v>295</v>
      </c>
      <c r="B302" s="53" t="s">
        <v>2486</v>
      </c>
      <c r="C302" s="54" t="s">
        <v>1266</v>
      </c>
      <c r="D302" s="55">
        <v>34855</v>
      </c>
      <c r="E302" s="54" t="s">
        <v>40</v>
      </c>
      <c r="F302" s="53"/>
      <c r="G302" s="54" t="s">
        <v>2487</v>
      </c>
      <c r="H302" s="54"/>
      <c r="I302" s="54"/>
      <c r="J302" s="54" t="s">
        <v>2488</v>
      </c>
      <c r="K302" s="54"/>
      <c r="L302" s="54"/>
      <c r="M302" s="54"/>
      <c r="N302" s="54"/>
      <c r="O302" s="54"/>
      <c r="P302" s="54"/>
      <c r="Q302" s="54" t="s">
        <v>2489</v>
      </c>
      <c r="R302" s="57" t="s">
        <v>74</v>
      </c>
      <c r="S302" s="54" t="s">
        <v>2487</v>
      </c>
      <c r="T302" s="54"/>
      <c r="U302" s="54"/>
      <c r="V302" s="55">
        <v>43193</v>
      </c>
      <c r="W302" s="54"/>
      <c r="X302" s="54"/>
      <c r="Y302" s="54" t="s">
        <v>85</v>
      </c>
      <c r="Z302" s="54"/>
      <c r="AA302" s="54"/>
      <c r="AB302" s="54"/>
      <c r="AC302" s="58">
        <v>43221</v>
      </c>
      <c r="AD302" s="7"/>
      <c r="AE302" s="7"/>
      <c r="AF302" s="46"/>
      <c r="AG302" s="47"/>
      <c r="AH302" s="46"/>
      <c r="AI302" s="46"/>
    </row>
    <row r="303" spans="1:35" x14ac:dyDescent="0.25">
      <c r="A303" s="48">
        <v>296</v>
      </c>
      <c r="B303" s="53" t="s">
        <v>2490</v>
      </c>
      <c r="C303" s="54" t="s">
        <v>2491</v>
      </c>
      <c r="D303" s="55">
        <v>28004</v>
      </c>
      <c r="E303" s="54" t="s">
        <v>40</v>
      </c>
      <c r="F303" s="53"/>
      <c r="G303" s="54" t="s">
        <v>2492</v>
      </c>
      <c r="H303" s="54"/>
      <c r="I303" s="54"/>
      <c r="J303" s="54" t="s">
        <v>2493</v>
      </c>
      <c r="K303" s="54"/>
      <c r="L303" s="54"/>
      <c r="M303" s="54"/>
      <c r="N303" s="54"/>
      <c r="O303" s="54"/>
      <c r="P303" s="54"/>
      <c r="Q303" s="54" t="s">
        <v>2494</v>
      </c>
      <c r="R303" s="57" t="s">
        <v>74</v>
      </c>
      <c r="S303" s="54" t="s">
        <v>2495</v>
      </c>
      <c r="T303" s="54"/>
      <c r="U303" s="54" t="s">
        <v>2496</v>
      </c>
      <c r="V303" s="55">
        <v>43193</v>
      </c>
      <c r="W303" s="54"/>
      <c r="X303" s="54"/>
      <c r="Y303" s="54" t="s">
        <v>85</v>
      </c>
      <c r="Z303" s="54"/>
      <c r="AA303" s="54"/>
      <c r="AB303" s="54"/>
      <c r="AC303" s="58">
        <v>43470</v>
      </c>
      <c r="AD303" s="7"/>
      <c r="AE303" s="77"/>
      <c r="AF303" s="86"/>
      <c r="AG303" s="87"/>
      <c r="AH303" s="86"/>
      <c r="AI303" s="86"/>
    </row>
    <row r="304" spans="1:35" x14ac:dyDescent="0.25">
      <c r="A304" s="36">
        <v>297</v>
      </c>
      <c r="B304" s="53" t="s">
        <v>2497</v>
      </c>
      <c r="C304" s="54" t="s">
        <v>2498</v>
      </c>
      <c r="D304" s="55">
        <v>35430</v>
      </c>
      <c r="E304" s="54" t="s">
        <v>40</v>
      </c>
      <c r="F304" s="69" t="s">
        <v>48</v>
      </c>
      <c r="G304" s="54" t="s">
        <v>2499</v>
      </c>
      <c r="H304" s="54" t="s">
        <v>113</v>
      </c>
      <c r="I304" s="54" t="s">
        <v>114</v>
      </c>
      <c r="J304" s="66" t="s">
        <v>2500</v>
      </c>
      <c r="K304" s="66" t="s">
        <v>2501</v>
      </c>
      <c r="L304" s="66"/>
      <c r="M304" s="54" t="s">
        <v>99</v>
      </c>
      <c r="N304" s="68" t="s">
        <v>48</v>
      </c>
      <c r="O304" s="68"/>
      <c r="P304" s="68" t="s">
        <v>2502</v>
      </c>
      <c r="Q304" s="66" t="s">
        <v>2503</v>
      </c>
      <c r="R304" s="57" t="s">
        <v>2504</v>
      </c>
      <c r="S304" s="54" t="s">
        <v>2505</v>
      </c>
      <c r="T304" s="54" t="s">
        <v>2506</v>
      </c>
      <c r="U304" s="54" t="s">
        <v>2507</v>
      </c>
      <c r="V304" s="72">
        <v>43194</v>
      </c>
      <c r="W304" s="66" t="s">
        <v>2508</v>
      </c>
      <c r="X304" s="54" t="s">
        <v>2509</v>
      </c>
      <c r="Y304" s="54" t="s">
        <v>85</v>
      </c>
      <c r="Z304" s="54" t="s">
        <v>416</v>
      </c>
      <c r="AA304" s="54" t="s">
        <v>125</v>
      </c>
      <c r="AB304" s="54" t="s">
        <v>641</v>
      </c>
      <c r="AC304" s="58">
        <v>44005</v>
      </c>
      <c r="AD304" s="7"/>
      <c r="AE304" s="7"/>
      <c r="AF304" s="46"/>
      <c r="AG304" s="47"/>
      <c r="AH304" s="46"/>
      <c r="AI304" s="46"/>
    </row>
    <row r="305" spans="1:35" x14ac:dyDescent="0.25">
      <c r="A305" s="36">
        <v>298</v>
      </c>
      <c r="B305" s="37" t="s">
        <v>2510</v>
      </c>
      <c r="C305" s="38" t="s">
        <v>370</v>
      </c>
      <c r="D305" s="39">
        <v>35956</v>
      </c>
      <c r="E305" s="38" t="s">
        <v>40</v>
      </c>
      <c r="F305" s="40" t="s">
        <v>48</v>
      </c>
      <c r="G305" s="38" t="s">
        <v>2511</v>
      </c>
      <c r="H305" s="38" t="s">
        <v>72</v>
      </c>
      <c r="I305" s="38" t="s">
        <v>114</v>
      </c>
      <c r="J305" s="43" t="s">
        <v>2512</v>
      </c>
      <c r="K305" s="43" t="s">
        <v>2513</v>
      </c>
      <c r="L305" s="43"/>
      <c r="M305" s="38" t="s">
        <v>99</v>
      </c>
      <c r="N305" s="43" t="s">
        <v>2514</v>
      </c>
      <c r="O305" s="43" t="s">
        <v>76</v>
      </c>
      <c r="P305" s="38">
        <v>19007166994</v>
      </c>
      <c r="Q305" s="43" t="s">
        <v>2515</v>
      </c>
      <c r="R305" s="50" t="s">
        <v>2516</v>
      </c>
      <c r="S305" s="38" t="s">
        <v>2517</v>
      </c>
      <c r="T305" s="38" t="s">
        <v>2518</v>
      </c>
      <c r="U305" s="40" t="s">
        <v>2519</v>
      </c>
      <c r="V305" s="60">
        <v>43194</v>
      </c>
      <c r="W305" s="65" t="s">
        <v>2520</v>
      </c>
      <c r="X305" s="38" t="s">
        <v>2521</v>
      </c>
      <c r="Y305" s="38" t="s">
        <v>52</v>
      </c>
      <c r="Z305" s="38" t="s">
        <v>2522</v>
      </c>
      <c r="AA305" s="38" t="s">
        <v>82</v>
      </c>
      <c r="AB305" s="38" t="s">
        <v>55</v>
      </c>
      <c r="AC305" s="45"/>
      <c r="AD305" s="7"/>
      <c r="AE305" s="7"/>
      <c r="AF305" s="46" t="str">
        <f>IF(R305="","",RIGHT(R305,LEN(R305)-FIND("@",R305)))</f>
        <v>yahoo.com</v>
      </c>
      <c r="AG305" s="47">
        <f>LEN(R305)-LEN(SUBSTITUTE(R305," ",""))</f>
        <v>0</v>
      </c>
      <c r="AH305" s="46" t="str">
        <f>SUBSTITUTE(R305," ","")</f>
        <v>teddyajacukup@yahoo.com</v>
      </c>
      <c r="AI305" s="46">
        <f>LEN(AH305)-LEN(SUBSTITUTE(AH305," ",""))</f>
        <v>0</v>
      </c>
    </row>
    <row r="306" spans="1:35" x14ac:dyDescent="0.25">
      <c r="A306" s="36">
        <v>299</v>
      </c>
      <c r="B306" s="53" t="s">
        <v>2523</v>
      </c>
      <c r="C306" s="54" t="s">
        <v>2463</v>
      </c>
      <c r="D306" s="55">
        <v>34564</v>
      </c>
      <c r="E306" s="54" t="s">
        <v>40</v>
      </c>
      <c r="F306" s="53"/>
      <c r="G306" s="54" t="s">
        <v>2524</v>
      </c>
      <c r="H306" s="54"/>
      <c r="I306" s="54"/>
      <c r="J306" s="54" t="s">
        <v>2525</v>
      </c>
      <c r="K306" s="54"/>
      <c r="L306" s="54"/>
      <c r="M306" s="54"/>
      <c r="N306" s="54"/>
      <c r="O306" s="54"/>
      <c r="P306" s="54"/>
      <c r="Q306" s="54" t="s">
        <v>2526</v>
      </c>
      <c r="R306" s="57" t="s">
        <v>74</v>
      </c>
      <c r="S306" s="54" t="s">
        <v>2527</v>
      </c>
      <c r="T306" s="54"/>
      <c r="U306" s="54"/>
      <c r="V306" s="55">
        <v>43200</v>
      </c>
      <c r="W306" s="54"/>
      <c r="X306" s="54"/>
      <c r="Y306" s="54" t="s">
        <v>85</v>
      </c>
      <c r="Z306" s="54"/>
      <c r="AA306" s="54"/>
      <c r="AB306" s="54"/>
      <c r="AC306" s="58">
        <v>43222</v>
      </c>
      <c r="AD306" s="7"/>
      <c r="AE306" s="7"/>
      <c r="AF306" s="46"/>
      <c r="AG306" s="47"/>
      <c r="AH306" s="46"/>
      <c r="AI306" s="46"/>
    </row>
    <row r="307" spans="1:35" x14ac:dyDescent="0.25">
      <c r="A307" s="36">
        <v>300</v>
      </c>
      <c r="B307" s="37" t="s">
        <v>2528</v>
      </c>
      <c r="C307" s="38" t="s">
        <v>94</v>
      </c>
      <c r="D307" s="39">
        <v>36639</v>
      </c>
      <c r="E307" s="38" t="s">
        <v>40</v>
      </c>
      <c r="F307" s="38" t="s">
        <v>129</v>
      </c>
      <c r="G307" s="38" t="s">
        <v>2529</v>
      </c>
      <c r="H307" s="38" t="s">
        <v>72</v>
      </c>
      <c r="I307" s="38" t="s">
        <v>114</v>
      </c>
      <c r="J307" s="41" t="s">
        <v>2530</v>
      </c>
      <c r="K307" s="41" t="s">
        <v>2531</v>
      </c>
      <c r="L307" s="43"/>
      <c r="M307" s="38" t="s">
        <v>99</v>
      </c>
      <c r="N307" s="43" t="s">
        <v>2532</v>
      </c>
      <c r="O307" s="43" t="s">
        <v>147</v>
      </c>
      <c r="P307" s="41" t="s">
        <v>2533</v>
      </c>
      <c r="Q307" s="41" t="s">
        <v>2534</v>
      </c>
      <c r="R307" s="50" t="s">
        <v>2535</v>
      </c>
      <c r="S307" s="38" t="s">
        <v>2536</v>
      </c>
      <c r="T307" s="38" t="s">
        <v>613</v>
      </c>
      <c r="U307" s="38" t="s">
        <v>2537</v>
      </c>
      <c r="V307" s="60">
        <v>43202</v>
      </c>
      <c r="W307" s="41" t="s">
        <v>2538</v>
      </c>
      <c r="X307" s="38" t="s">
        <v>2539</v>
      </c>
      <c r="Y307" s="38" t="s">
        <v>52</v>
      </c>
      <c r="Z307" s="38" t="s">
        <v>226</v>
      </c>
      <c r="AA307" s="38" t="s">
        <v>125</v>
      </c>
      <c r="AB307" s="38" t="s">
        <v>1026</v>
      </c>
      <c r="AC307" s="45"/>
      <c r="AD307" s="7"/>
      <c r="AE307" s="7"/>
      <c r="AF307" s="46"/>
      <c r="AG307" s="47"/>
      <c r="AH307" s="46"/>
      <c r="AI307" s="46"/>
    </row>
    <row r="308" spans="1:35" x14ac:dyDescent="0.25">
      <c r="A308" s="36">
        <v>301</v>
      </c>
      <c r="B308" s="53" t="s">
        <v>2540</v>
      </c>
      <c r="C308" s="54" t="s">
        <v>2385</v>
      </c>
      <c r="D308" s="55">
        <v>36293</v>
      </c>
      <c r="E308" s="54" t="s">
        <v>40</v>
      </c>
      <c r="F308" s="53"/>
      <c r="G308" s="54" t="s">
        <v>2541</v>
      </c>
      <c r="H308" s="54"/>
      <c r="I308" s="54"/>
      <c r="J308" s="54" t="s">
        <v>2542</v>
      </c>
      <c r="K308" s="54"/>
      <c r="L308" s="54"/>
      <c r="M308" s="54"/>
      <c r="N308" s="54"/>
      <c r="O308" s="54"/>
      <c r="P308" s="54"/>
      <c r="Q308" s="54" t="s">
        <v>2543</v>
      </c>
      <c r="R308" s="57" t="s">
        <v>74</v>
      </c>
      <c r="S308" s="54" t="s">
        <v>2544</v>
      </c>
      <c r="T308" s="54"/>
      <c r="U308" s="54" t="s">
        <v>2545</v>
      </c>
      <c r="V308" s="55">
        <v>43206</v>
      </c>
      <c r="W308" s="54"/>
      <c r="X308" s="54"/>
      <c r="Y308" s="54" t="s">
        <v>85</v>
      </c>
      <c r="Z308" s="54"/>
      <c r="AA308" s="54"/>
      <c r="AB308" s="54"/>
      <c r="AC308" s="58">
        <v>43374</v>
      </c>
      <c r="AD308" s="7"/>
      <c r="AE308" s="7"/>
      <c r="AF308" s="46"/>
      <c r="AG308" s="47"/>
      <c r="AH308" s="46"/>
      <c r="AI308" s="46"/>
    </row>
    <row r="309" spans="1:35" x14ac:dyDescent="0.25">
      <c r="A309" s="48">
        <v>302</v>
      </c>
      <c r="B309" s="37" t="s">
        <v>2546</v>
      </c>
      <c r="C309" s="38" t="s">
        <v>328</v>
      </c>
      <c r="D309" s="39">
        <v>34904</v>
      </c>
      <c r="E309" s="38" t="s">
        <v>40</v>
      </c>
      <c r="F309" s="38" t="s">
        <v>48</v>
      </c>
      <c r="G309" s="38" t="s">
        <v>2547</v>
      </c>
      <c r="H309" s="38" t="s">
        <v>113</v>
      </c>
      <c r="I309" s="38" t="s">
        <v>114</v>
      </c>
      <c r="J309" s="41" t="s">
        <v>2548</v>
      </c>
      <c r="K309" s="41"/>
      <c r="L309" s="41"/>
      <c r="M309" s="38" t="s">
        <v>99</v>
      </c>
      <c r="N309" s="41" t="s">
        <v>2549</v>
      </c>
      <c r="O309" s="41" t="s">
        <v>76</v>
      </c>
      <c r="P309" s="41" t="s">
        <v>2550</v>
      </c>
      <c r="Q309" s="41" t="s">
        <v>2551</v>
      </c>
      <c r="R309" s="74" t="s">
        <v>2552</v>
      </c>
      <c r="S309" s="38" t="s">
        <v>2553</v>
      </c>
      <c r="T309" s="38" t="s">
        <v>2554</v>
      </c>
      <c r="U309" s="38" t="s">
        <v>2555</v>
      </c>
      <c r="V309" s="60">
        <v>43211</v>
      </c>
      <c r="W309" s="41" t="s">
        <v>2556</v>
      </c>
      <c r="X309" s="38" t="s">
        <v>2557</v>
      </c>
      <c r="Y309" s="38" t="s">
        <v>52</v>
      </c>
      <c r="Z309" s="38" t="s">
        <v>2558</v>
      </c>
      <c r="AA309" s="38" t="s">
        <v>1640</v>
      </c>
      <c r="AB309" s="38" t="s">
        <v>55</v>
      </c>
      <c r="AC309" s="45"/>
      <c r="AD309" s="7"/>
      <c r="AE309" s="7"/>
      <c r="AF309" s="46" t="str">
        <f>IF(R309="","",RIGHT(R309,LEN(R309)-FIND("@",R309)))</f>
        <v>gmail.com</v>
      </c>
      <c r="AG309" s="47">
        <f>LEN(R309)-LEN(SUBSTITUTE(R309," ",""))</f>
        <v>0</v>
      </c>
      <c r="AH309" s="46" t="str">
        <f>SUBSTITUTE(R309," ","")</f>
        <v>iqbalmaulana071995@gmail.com</v>
      </c>
      <c r="AI309" s="46">
        <f>LEN(AH309)-LEN(SUBSTITUTE(AH309," ",""))</f>
        <v>0</v>
      </c>
    </row>
    <row r="310" spans="1:35" x14ac:dyDescent="0.25">
      <c r="A310" s="36">
        <v>303</v>
      </c>
      <c r="B310" s="37" t="s">
        <v>2559</v>
      </c>
      <c r="C310" s="38" t="s">
        <v>2560</v>
      </c>
      <c r="D310" s="39">
        <v>36285</v>
      </c>
      <c r="E310" s="38" t="s">
        <v>40</v>
      </c>
      <c r="F310" s="38" t="s">
        <v>129</v>
      </c>
      <c r="G310" s="38" t="s">
        <v>2561</v>
      </c>
      <c r="H310" s="38" t="s">
        <v>72</v>
      </c>
      <c r="I310" s="38" t="s">
        <v>114</v>
      </c>
      <c r="J310" s="41" t="s">
        <v>2562</v>
      </c>
      <c r="K310" s="41" t="s">
        <v>2563</v>
      </c>
      <c r="L310" s="41"/>
      <c r="M310" s="38" t="s">
        <v>99</v>
      </c>
      <c r="N310" s="41" t="s">
        <v>2564</v>
      </c>
      <c r="O310" s="41" t="s">
        <v>147</v>
      </c>
      <c r="P310" s="41" t="s">
        <v>2565</v>
      </c>
      <c r="Q310" s="41" t="s">
        <v>2566</v>
      </c>
      <c r="R310" s="50" t="s">
        <v>2567</v>
      </c>
      <c r="S310" s="38" t="s">
        <v>2568</v>
      </c>
      <c r="T310" s="38" t="s">
        <v>613</v>
      </c>
      <c r="U310" s="38">
        <v>81936522634</v>
      </c>
      <c r="V310" s="60">
        <v>43213</v>
      </c>
      <c r="W310" s="41" t="s">
        <v>2569</v>
      </c>
      <c r="X310" s="38" t="s">
        <v>2570</v>
      </c>
      <c r="Y310" s="38" t="s">
        <v>52</v>
      </c>
      <c r="Z310" s="38" t="s">
        <v>156</v>
      </c>
      <c r="AA310" s="38" t="s">
        <v>125</v>
      </c>
      <c r="AB310" s="38" t="s">
        <v>2164</v>
      </c>
      <c r="AC310" s="45"/>
      <c r="AD310" s="7"/>
      <c r="AE310" s="7"/>
      <c r="AF310" s="46" t="str">
        <f>IF(R310="","",RIGHT(R310,LEN(R310)-FIND("@",R310)))</f>
        <v>gmail.com</v>
      </c>
      <c r="AG310" s="47">
        <f>LEN(R310)-LEN(SUBSTITUTE(R310," ",""))</f>
        <v>0</v>
      </c>
      <c r="AH310" s="46" t="str">
        <f>SUBSTITUTE(R310," ","")</f>
        <v>kadekwidiasa16@gmail.com</v>
      </c>
      <c r="AI310" s="46">
        <f>LEN(AH310)-LEN(SUBSTITUTE(AH310," ",""))</f>
        <v>0</v>
      </c>
    </row>
    <row r="311" spans="1:35" x14ac:dyDescent="0.25">
      <c r="A311" s="36">
        <v>304</v>
      </c>
      <c r="B311" s="37" t="s">
        <v>2571</v>
      </c>
      <c r="C311" s="38" t="s">
        <v>2572</v>
      </c>
      <c r="D311" s="39">
        <v>35110</v>
      </c>
      <c r="E311" s="38" t="s">
        <v>40</v>
      </c>
      <c r="F311" s="38" t="s">
        <v>48</v>
      </c>
      <c r="G311" s="38" t="s">
        <v>2573</v>
      </c>
      <c r="H311" s="38" t="s">
        <v>72</v>
      </c>
      <c r="I311" s="38" t="s">
        <v>114</v>
      </c>
      <c r="J311" s="41" t="s">
        <v>2574</v>
      </c>
      <c r="K311" s="41" t="s">
        <v>2575</v>
      </c>
      <c r="L311" s="41"/>
      <c r="M311" s="38" t="s">
        <v>99</v>
      </c>
      <c r="N311" s="43" t="s">
        <v>2576</v>
      </c>
      <c r="O311" s="43" t="s">
        <v>428</v>
      </c>
      <c r="P311" s="41" t="s">
        <v>2577</v>
      </c>
      <c r="Q311" s="41" t="s">
        <v>2578</v>
      </c>
      <c r="R311" s="50" t="s">
        <v>2579</v>
      </c>
      <c r="S311" s="38" t="s">
        <v>2580</v>
      </c>
      <c r="T311" s="38" t="s">
        <v>1185</v>
      </c>
      <c r="U311" s="38">
        <v>85737266046</v>
      </c>
      <c r="V311" s="60">
        <v>43213</v>
      </c>
      <c r="W311" s="41" t="s">
        <v>2581</v>
      </c>
      <c r="X311" s="38" t="s">
        <v>2582</v>
      </c>
      <c r="Y311" s="38" t="s">
        <v>52</v>
      </c>
      <c r="Z311" s="38" t="s">
        <v>416</v>
      </c>
      <c r="AA311" s="38" t="s">
        <v>125</v>
      </c>
      <c r="AB311" s="38" t="s">
        <v>2164</v>
      </c>
      <c r="AC311" s="45"/>
      <c r="AD311" s="7"/>
      <c r="AE311" s="7"/>
      <c r="AF311" s="46"/>
      <c r="AG311" s="47"/>
      <c r="AH311" s="46"/>
      <c r="AI311" s="46"/>
    </row>
    <row r="312" spans="1:35" x14ac:dyDescent="0.25">
      <c r="A312" s="36">
        <v>305</v>
      </c>
      <c r="B312" s="53" t="s">
        <v>2583</v>
      </c>
      <c r="C312" s="54" t="s">
        <v>2584</v>
      </c>
      <c r="D312" s="55">
        <v>35260</v>
      </c>
      <c r="E312" s="54" t="s">
        <v>95</v>
      </c>
      <c r="F312" s="53"/>
      <c r="G312" s="54" t="s">
        <v>2585</v>
      </c>
      <c r="H312" s="54"/>
      <c r="I312" s="54"/>
      <c r="J312" s="54" t="s">
        <v>2586</v>
      </c>
      <c r="K312" s="54"/>
      <c r="L312" s="54"/>
      <c r="M312" s="54" t="s">
        <v>99</v>
      </c>
      <c r="N312" s="54"/>
      <c r="O312" s="54"/>
      <c r="P312" s="54"/>
      <c r="Q312" s="54" t="s">
        <v>2587</v>
      </c>
      <c r="R312" s="57" t="s">
        <v>74</v>
      </c>
      <c r="S312" s="54" t="s">
        <v>2588</v>
      </c>
      <c r="T312" s="54"/>
      <c r="U312" s="54"/>
      <c r="V312" s="55">
        <v>43213</v>
      </c>
      <c r="W312" s="54"/>
      <c r="X312" s="54"/>
      <c r="Y312" s="54" t="s">
        <v>85</v>
      </c>
      <c r="Z312" s="54"/>
      <c r="AA312" s="54"/>
      <c r="AB312" s="54"/>
      <c r="AC312" s="58">
        <v>43331</v>
      </c>
      <c r="AD312" s="7"/>
      <c r="AE312" s="7"/>
      <c r="AF312" s="46" t="str">
        <f>IF(R312="","",RIGHT(R312,LEN(R312)-FIND("@",R312)))</f>
        <v/>
      </c>
      <c r="AG312" s="47">
        <f>LEN(R312)-LEN(SUBSTITUTE(R312," ",""))</f>
        <v>0</v>
      </c>
      <c r="AH312" s="46" t="str">
        <f>SUBSTITUTE(R312," ","")</f>
        <v/>
      </c>
      <c r="AI312" s="46">
        <f>LEN(AH312)-LEN(SUBSTITUTE(AH312," ",""))</f>
        <v>0</v>
      </c>
    </row>
    <row r="313" spans="1:35" x14ac:dyDescent="0.25">
      <c r="A313" s="36">
        <v>306</v>
      </c>
      <c r="B313" s="53" t="s">
        <v>2589</v>
      </c>
      <c r="C313" s="54" t="s">
        <v>2590</v>
      </c>
      <c r="D313" s="55">
        <v>34134</v>
      </c>
      <c r="E313" s="54" t="s">
        <v>40</v>
      </c>
      <c r="F313" s="53"/>
      <c r="G313" s="54" t="s">
        <v>2591</v>
      </c>
      <c r="H313" s="54"/>
      <c r="I313" s="54"/>
      <c r="J313" s="54" t="s">
        <v>2592</v>
      </c>
      <c r="K313" s="54"/>
      <c r="L313" s="54"/>
      <c r="M313" s="54"/>
      <c r="N313" s="54"/>
      <c r="O313" s="54"/>
      <c r="P313" s="54"/>
      <c r="Q313" s="54" t="s">
        <v>2593</v>
      </c>
      <c r="R313" s="57" t="s">
        <v>74</v>
      </c>
      <c r="S313" s="54" t="s">
        <v>2591</v>
      </c>
      <c r="T313" s="54"/>
      <c r="U313" s="54" t="s">
        <v>2594</v>
      </c>
      <c r="V313" s="55">
        <v>43213</v>
      </c>
      <c r="W313" s="54"/>
      <c r="X313" s="54"/>
      <c r="Y313" s="54" t="s">
        <v>85</v>
      </c>
      <c r="Z313" s="54"/>
      <c r="AA313" s="54"/>
      <c r="AB313" s="54"/>
      <c r="AC313" s="58">
        <v>43619</v>
      </c>
      <c r="AD313" s="7"/>
      <c r="AE313" s="7"/>
      <c r="AF313" s="46" t="str">
        <f>IF(R313="","",RIGHT(R313,LEN(R313)-FIND("@",R313)))</f>
        <v/>
      </c>
      <c r="AG313" s="47">
        <f>LEN(R313)-LEN(SUBSTITUTE(R313," ",""))</f>
        <v>0</v>
      </c>
      <c r="AH313" s="46" t="str">
        <f>SUBSTITUTE(R313," ","")</f>
        <v/>
      </c>
      <c r="AI313" s="46">
        <f>LEN(AH313)-LEN(SUBSTITUTE(AH313," ",""))</f>
        <v>0</v>
      </c>
    </row>
    <row r="314" spans="1:35" x14ac:dyDescent="0.25">
      <c r="A314" s="36">
        <v>307</v>
      </c>
      <c r="B314" s="37" t="s">
        <v>2595</v>
      </c>
      <c r="C314" s="38" t="s">
        <v>533</v>
      </c>
      <c r="D314" s="39">
        <v>33324</v>
      </c>
      <c r="E314" s="38" t="s">
        <v>95</v>
      </c>
      <c r="F314" s="38" t="s">
        <v>48</v>
      </c>
      <c r="G314" s="38" t="s">
        <v>2596</v>
      </c>
      <c r="H314" s="38" t="s">
        <v>72</v>
      </c>
      <c r="I314" s="38" t="s">
        <v>2597</v>
      </c>
      <c r="J314" s="41" t="s">
        <v>2598</v>
      </c>
      <c r="K314" s="41" t="s">
        <v>2599</v>
      </c>
      <c r="L314" s="41" t="s">
        <v>2600</v>
      </c>
      <c r="M314" s="38" t="s">
        <v>99</v>
      </c>
      <c r="N314" s="41" t="s">
        <v>2601</v>
      </c>
      <c r="O314" s="41" t="s">
        <v>164</v>
      </c>
      <c r="P314" s="41" t="s">
        <v>2602</v>
      </c>
      <c r="Q314" s="41" t="s">
        <v>2603</v>
      </c>
      <c r="R314" s="50" t="s">
        <v>2604</v>
      </c>
      <c r="S314" s="38" t="s">
        <v>2605</v>
      </c>
      <c r="T314" s="38" t="s">
        <v>65</v>
      </c>
      <c r="U314" s="38">
        <v>81933073689</v>
      </c>
      <c r="V314" s="60">
        <v>43213</v>
      </c>
      <c r="W314" s="41" t="s">
        <v>2606</v>
      </c>
      <c r="X314" s="38" t="s">
        <v>2607</v>
      </c>
      <c r="Y314" s="38" t="s">
        <v>52</v>
      </c>
      <c r="Z314" s="38" t="s">
        <v>396</v>
      </c>
      <c r="AA314" s="38" t="s">
        <v>125</v>
      </c>
      <c r="AB314" s="38" t="s">
        <v>2164</v>
      </c>
      <c r="AC314" s="45"/>
      <c r="AD314" s="7"/>
      <c r="AE314" s="7"/>
      <c r="AF314" s="46" t="str">
        <f>IF(R314="","",RIGHT(R314,LEN(R314)-FIND("@",R314)))</f>
        <v>gmail.com</v>
      </c>
      <c r="AG314" s="47">
        <f>LEN(R314)-LEN(SUBSTITUTE(R314," ",""))</f>
        <v>0</v>
      </c>
      <c r="AH314" s="46" t="str">
        <f>SUBSTITUTE(R314," ","")</f>
        <v>sudarmini270@gmail.com</v>
      </c>
      <c r="AI314" s="46">
        <f>LEN(AH314)-LEN(SUBSTITUTE(AH314," ",""))</f>
        <v>0</v>
      </c>
    </row>
    <row r="315" spans="1:35" x14ac:dyDescent="0.25">
      <c r="A315" s="48">
        <v>308</v>
      </c>
      <c r="B315" s="53" t="s">
        <v>2608</v>
      </c>
      <c r="C315" s="54" t="s">
        <v>2609</v>
      </c>
      <c r="D315" s="55">
        <v>36649</v>
      </c>
      <c r="E315" s="54" t="s">
        <v>95</v>
      </c>
      <c r="F315" s="53"/>
      <c r="G315" s="54" t="s">
        <v>2610</v>
      </c>
      <c r="H315" s="54"/>
      <c r="I315" s="54"/>
      <c r="J315" s="54"/>
      <c r="K315" s="54"/>
      <c r="L315" s="54"/>
      <c r="M315" s="54" t="s">
        <v>99</v>
      </c>
      <c r="N315" s="54"/>
      <c r="O315" s="54"/>
      <c r="P315" s="54"/>
      <c r="Q315" s="54" t="s">
        <v>2611</v>
      </c>
      <c r="R315" s="57" t="s">
        <v>74</v>
      </c>
      <c r="S315" s="54" t="s">
        <v>2612</v>
      </c>
      <c r="T315" s="54"/>
      <c r="U315" s="54" t="s">
        <v>2613</v>
      </c>
      <c r="V315" s="55">
        <v>43215</v>
      </c>
      <c r="W315" s="54"/>
      <c r="X315" s="54"/>
      <c r="Y315" s="54" t="s">
        <v>85</v>
      </c>
      <c r="Z315" s="54"/>
      <c r="AA315" s="54"/>
      <c r="AB315" s="54"/>
      <c r="AC315" s="58">
        <v>43471</v>
      </c>
      <c r="AD315" s="7"/>
      <c r="AE315" s="7"/>
      <c r="AF315" s="46" t="str">
        <f>IF(R315="","",RIGHT(R315,LEN(R315)-FIND("@",R315)))</f>
        <v/>
      </c>
      <c r="AG315" s="47">
        <f>LEN(R315)-LEN(SUBSTITUTE(R315," ",""))</f>
        <v>0</v>
      </c>
      <c r="AH315" s="46" t="str">
        <f>SUBSTITUTE(R315," ","")</f>
        <v/>
      </c>
      <c r="AI315" s="46">
        <f>LEN(AH315)-LEN(SUBSTITUTE(AH315," ",""))</f>
        <v>0</v>
      </c>
    </row>
    <row r="316" spans="1:35" x14ac:dyDescent="0.25">
      <c r="A316" s="36">
        <v>309</v>
      </c>
      <c r="B316" s="53" t="s">
        <v>2614</v>
      </c>
      <c r="C316" s="54" t="s">
        <v>2615</v>
      </c>
      <c r="D316" s="55">
        <v>36601</v>
      </c>
      <c r="E316" s="54" t="s">
        <v>40</v>
      </c>
      <c r="F316" s="53"/>
      <c r="G316" s="54" t="s">
        <v>2616</v>
      </c>
      <c r="H316" s="54"/>
      <c r="I316" s="54"/>
      <c r="J316" s="54" t="s">
        <v>2617</v>
      </c>
      <c r="K316" s="54"/>
      <c r="L316" s="54"/>
      <c r="M316" s="54"/>
      <c r="N316" s="54"/>
      <c r="O316" s="54"/>
      <c r="P316" s="54"/>
      <c r="Q316" s="54" t="s">
        <v>2618</v>
      </c>
      <c r="R316" s="57" t="s">
        <v>74</v>
      </c>
      <c r="S316" s="54" t="s">
        <v>2619</v>
      </c>
      <c r="T316" s="54"/>
      <c r="U316" s="54" t="s">
        <v>2620</v>
      </c>
      <c r="V316" s="55">
        <v>43220</v>
      </c>
      <c r="W316" s="54"/>
      <c r="X316" s="54"/>
      <c r="Y316" s="54" t="s">
        <v>85</v>
      </c>
      <c r="Z316" s="54"/>
      <c r="AA316" s="54"/>
      <c r="AB316" s="54"/>
      <c r="AC316" s="58">
        <v>43647</v>
      </c>
      <c r="AD316" s="7"/>
      <c r="AE316" s="7"/>
      <c r="AF316" s="46"/>
      <c r="AG316" s="47"/>
      <c r="AH316" s="46"/>
      <c r="AI316" s="46"/>
    </row>
    <row r="317" spans="1:35" x14ac:dyDescent="0.25">
      <c r="A317" s="36">
        <v>310</v>
      </c>
      <c r="B317" s="37" t="s">
        <v>2621</v>
      </c>
      <c r="C317" s="38" t="s">
        <v>94</v>
      </c>
      <c r="D317" s="39">
        <v>35587</v>
      </c>
      <c r="E317" s="38" t="s">
        <v>40</v>
      </c>
      <c r="F317" s="40" t="s">
        <v>48</v>
      </c>
      <c r="G317" s="38" t="s">
        <v>2622</v>
      </c>
      <c r="H317" s="38" t="s">
        <v>113</v>
      </c>
      <c r="I317" s="38" t="s">
        <v>114</v>
      </c>
      <c r="J317" s="41" t="s">
        <v>2623</v>
      </c>
      <c r="K317" s="41"/>
      <c r="L317" s="43"/>
      <c r="M317" s="38" t="s">
        <v>99</v>
      </c>
      <c r="N317" s="43" t="s">
        <v>2624</v>
      </c>
      <c r="O317" s="43" t="s">
        <v>164</v>
      </c>
      <c r="P317" s="41" t="s">
        <v>2625</v>
      </c>
      <c r="Q317" s="41"/>
      <c r="R317" s="50" t="s">
        <v>2626</v>
      </c>
      <c r="S317" s="38" t="s">
        <v>2627</v>
      </c>
      <c r="T317" s="38"/>
      <c r="U317" s="38"/>
      <c r="V317" s="60">
        <v>43221</v>
      </c>
      <c r="W317" s="41" t="s">
        <v>2628</v>
      </c>
      <c r="X317" s="38" t="s">
        <v>2629</v>
      </c>
      <c r="Y317" s="38" t="s">
        <v>52</v>
      </c>
      <c r="Z317" s="38" t="s">
        <v>1816</v>
      </c>
      <c r="AA317" s="38" t="s">
        <v>777</v>
      </c>
      <c r="AB317" s="38" t="s">
        <v>778</v>
      </c>
      <c r="AC317" s="45"/>
      <c r="AD317" s="7"/>
      <c r="AE317" s="7"/>
      <c r="AF317" s="46"/>
      <c r="AG317" s="47"/>
      <c r="AH317" s="46"/>
      <c r="AI317" s="46"/>
    </row>
    <row r="318" spans="1:35" x14ac:dyDescent="0.25">
      <c r="A318" s="36">
        <v>311</v>
      </c>
      <c r="B318" s="53" t="s">
        <v>2630</v>
      </c>
      <c r="C318" s="54" t="s">
        <v>2631</v>
      </c>
      <c r="D318" s="55">
        <v>34542</v>
      </c>
      <c r="E318" s="54" t="s">
        <v>40</v>
      </c>
      <c r="F318" s="53"/>
      <c r="G318" s="54" t="s">
        <v>2632</v>
      </c>
      <c r="H318" s="54"/>
      <c r="I318" s="54"/>
      <c r="J318" s="54" t="s">
        <v>2633</v>
      </c>
      <c r="K318" s="54"/>
      <c r="L318" s="54"/>
      <c r="M318" s="54"/>
      <c r="N318" s="54"/>
      <c r="O318" s="54"/>
      <c r="P318" s="54"/>
      <c r="Q318" s="54" t="s">
        <v>2634</v>
      </c>
      <c r="R318" s="57" t="s">
        <v>74</v>
      </c>
      <c r="S318" s="54" t="s">
        <v>2635</v>
      </c>
      <c r="T318" s="54"/>
      <c r="U318" s="54" t="s">
        <v>2636</v>
      </c>
      <c r="V318" s="55">
        <v>43222</v>
      </c>
      <c r="W318" s="54"/>
      <c r="X318" s="54"/>
      <c r="Y318" s="54" t="s">
        <v>85</v>
      </c>
      <c r="Z318" s="54"/>
      <c r="AA318" s="54"/>
      <c r="AB318" s="54"/>
      <c r="AC318" s="58">
        <v>43416</v>
      </c>
      <c r="AD318" s="7"/>
      <c r="AE318" s="7"/>
      <c r="AF318" s="46"/>
      <c r="AG318" s="47"/>
      <c r="AH318" s="46"/>
      <c r="AI318" s="46"/>
    </row>
    <row r="319" spans="1:35" x14ac:dyDescent="0.25">
      <c r="A319" s="36">
        <v>312</v>
      </c>
      <c r="B319" s="53" t="s">
        <v>2637</v>
      </c>
      <c r="C319" s="54" t="s">
        <v>2638</v>
      </c>
      <c r="D319" s="55">
        <v>36525</v>
      </c>
      <c r="E319" s="54" t="s">
        <v>40</v>
      </c>
      <c r="F319" s="53"/>
      <c r="G319" s="54" t="s">
        <v>2638</v>
      </c>
      <c r="H319" s="54"/>
      <c r="I319" s="54"/>
      <c r="J319" s="54" t="s">
        <v>2639</v>
      </c>
      <c r="K319" s="54"/>
      <c r="L319" s="54"/>
      <c r="M319" s="54"/>
      <c r="N319" s="54"/>
      <c r="O319" s="54"/>
      <c r="P319" s="54"/>
      <c r="Q319" s="54" t="s">
        <v>2640</v>
      </c>
      <c r="R319" s="57" t="s">
        <v>74</v>
      </c>
      <c r="S319" s="54" t="s">
        <v>2641</v>
      </c>
      <c r="T319" s="54"/>
      <c r="U319" s="54" t="s">
        <v>2642</v>
      </c>
      <c r="V319" s="55">
        <v>43222</v>
      </c>
      <c r="W319" s="54"/>
      <c r="X319" s="54"/>
      <c r="Y319" s="54" t="s">
        <v>85</v>
      </c>
      <c r="Z319" s="54"/>
      <c r="AA319" s="54"/>
      <c r="AB319" s="54"/>
      <c r="AC319" s="58">
        <v>43778</v>
      </c>
      <c r="AD319" s="7"/>
      <c r="AE319" s="7"/>
      <c r="AF319" s="46"/>
      <c r="AG319" s="47"/>
      <c r="AH319" s="46"/>
      <c r="AI319" s="46"/>
    </row>
    <row r="320" spans="1:35" x14ac:dyDescent="0.25">
      <c r="A320" s="36">
        <v>313</v>
      </c>
      <c r="B320" s="53" t="s">
        <v>2643</v>
      </c>
      <c r="C320" s="54" t="s">
        <v>39</v>
      </c>
      <c r="D320" s="55">
        <v>30272</v>
      </c>
      <c r="E320" s="54" t="s">
        <v>95</v>
      </c>
      <c r="F320" s="53"/>
      <c r="G320" s="54" t="s">
        <v>2644</v>
      </c>
      <c r="H320" s="54"/>
      <c r="I320" s="54"/>
      <c r="J320" s="54" t="s">
        <v>2645</v>
      </c>
      <c r="K320" s="54"/>
      <c r="L320" s="54"/>
      <c r="M320" s="54" t="s">
        <v>99</v>
      </c>
      <c r="N320" s="54"/>
      <c r="O320" s="54"/>
      <c r="P320" s="54"/>
      <c r="Q320" s="54" t="s">
        <v>2646</v>
      </c>
      <c r="R320" s="57" t="s">
        <v>74</v>
      </c>
      <c r="S320" s="54" t="s">
        <v>2647</v>
      </c>
      <c r="T320" s="54"/>
      <c r="U320" s="54" t="s">
        <v>2648</v>
      </c>
      <c r="V320" s="55">
        <v>43222</v>
      </c>
      <c r="W320" s="54"/>
      <c r="X320" s="54"/>
      <c r="Y320" s="54" t="s">
        <v>85</v>
      </c>
      <c r="Z320" s="54"/>
      <c r="AA320" s="54"/>
      <c r="AB320" s="54"/>
      <c r="AC320" s="58">
        <v>43535</v>
      </c>
      <c r="AD320" s="7"/>
      <c r="AE320" s="7"/>
      <c r="AF320" s="46"/>
      <c r="AG320" s="47"/>
      <c r="AH320" s="46"/>
      <c r="AI320" s="46"/>
    </row>
    <row r="321" spans="1:35" x14ac:dyDescent="0.25">
      <c r="A321" s="48">
        <v>314</v>
      </c>
      <c r="B321" s="53" t="s">
        <v>2649</v>
      </c>
      <c r="C321" s="54" t="s">
        <v>758</v>
      </c>
      <c r="D321" s="55">
        <v>36431</v>
      </c>
      <c r="E321" s="54" t="s">
        <v>40</v>
      </c>
      <c r="F321" s="53"/>
      <c r="G321" s="54" t="s">
        <v>2650</v>
      </c>
      <c r="H321" s="54"/>
      <c r="I321" s="54"/>
      <c r="J321" s="54" t="s">
        <v>2651</v>
      </c>
      <c r="K321" s="54"/>
      <c r="L321" s="54"/>
      <c r="M321" s="54"/>
      <c r="N321" s="54"/>
      <c r="O321" s="54"/>
      <c r="P321" s="54"/>
      <c r="Q321" s="54" t="s">
        <v>2652</v>
      </c>
      <c r="R321" s="57" t="s">
        <v>74</v>
      </c>
      <c r="S321" s="54" t="s">
        <v>2653</v>
      </c>
      <c r="T321" s="54"/>
      <c r="U321" s="54"/>
      <c r="V321" s="55">
        <v>43224</v>
      </c>
      <c r="W321" s="54"/>
      <c r="X321" s="54"/>
      <c r="Y321" s="54" t="s">
        <v>85</v>
      </c>
      <c r="Z321" s="54"/>
      <c r="AA321" s="54"/>
      <c r="AB321" s="54"/>
      <c r="AC321" s="58">
        <v>43225</v>
      </c>
      <c r="AD321" s="7"/>
      <c r="AE321" s="7"/>
      <c r="AF321" s="46" t="str">
        <f>IF(R321="","",RIGHT(R321,LEN(R321)-FIND("@",R321)))</f>
        <v/>
      </c>
      <c r="AG321" s="47">
        <f>LEN(R321)-LEN(SUBSTITUTE(R321," ",""))</f>
        <v>0</v>
      </c>
      <c r="AH321" s="46" t="str">
        <f>SUBSTITUTE(R321," ","")</f>
        <v/>
      </c>
      <c r="AI321" s="46">
        <f>LEN(AH321)-LEN(SUBSTITUTE(AH321," ",""))</f>
        <v>0</v>
      </c>
    </row>
    <row r="322" spans="1:35" x14ac:dyDescent="0.25">
      <c r="A322" s="36">
        <v>315</v>
      </c>
      <c r="B322" s="53" t="s">
        <v>2654</v>
      </c>
      <c r="C322" s="54" t="s">
        <v>2655</v>
      </c>
      <c r="D322" s="55">
        <v>36040</v>
      </c>
      <c r="E322" s="54" t="s">
        <v>40</v>
      </c>
      <c r="F322" s="53"/>
      <c r="G322" s="54" t="s">
        <v>2656</v>
      </c>
      <c r="H322" s="54"/>
      <c r="I322" s="54"/>
      <c r="J322" s="54" t="s">
        <v>2657</v>
      </c>
      <c r="K322" s="54"/>
      <c r="L322" s="54"/>
      <c r="M322" s="54"/>
      <c r="N322" s="54"/>
      <c r="O322" s="54"/>
      <c r="P322" s="54"/>
      <c r="Q322" s="54" t="s">
        <v>2658</v>
      </c>
      <c r="R322" s="57" t="s">
        <v>74</v>
      </c>
      <c r="S322" s="54" t="s">
        <v>2659</v>
      </c>
      <c r="T322" s="54"/>
      <c r="U322" s="54"/>
      <c r="V322" s="55">
        <v>43224</v>
      </c>
      <c r="W322" s="54"/>
      <c r="X322" s="54"/>
      <c r="Y322" s="54" t="s">
        <v>85</v>
      </c>
      <c r="Z322" s="54"/>
      <c r="AA322" s="54"/>
      <c r="AB322" s="54"/>
      <c r="AC322" s="58">
        <v>43225</v>
      </c>
      <c r="AD322" s="7"/>
      <c r="AE322" s="7"/>
      <c r="AF322" s="46"/>
      <c r="AG322" s="47"/>
      <c r="AH322" s="46"/>
      <c r="AI322" s="46"/>
    </row>
    <row r="323" spans="1:35" x14ac:dyDescent="0.25">
      <c r="A323" s="36">
        <v>316</v>
      </c>
      <c r="B323" s="37" t="s">
        <v>2660</v>
      </c>
      <c r="C323" s="38" t="s">
        <v>548</v>
      </c>
      <c r="D323" s="39">
        <v>35919</v>
      </c>
      <c r="E323" s="38" t="s">
        <v>40</v>
      </c>
      <c r="F323" s="38" t="s">
        <v>48</v>
      </c>
      <c r="G323" s="38" t="s">
        <v>2661</v>
      </c>
      <c r="H323" s="38" t="s">
        <v>113</v>
      </c>
      <c r="I323" s="38" t="s">
        <v>114</v>
      </c>
      <c r="J323" s="41" t="s">
        <v>2662</v>
      </c>
      <c r="K323" s="41" t="s">
        <v>2663</v>
      </c>
      <c r="L323" s="41"/>
      <c r="M323" s="38" t="s">
        <v>99</v>
      </c>
      <c r="N323" s="43" t="s">
        <v>48</v>
      </c>
      <c r="O323" s="43"/>
      <c r="P323" s="41" t="s">
        <v>2664</v>
      </c>
      <c r="Q323" s="41" t="s">
        <v>2665</v>
      </c>
      <c r="R323" s="50" t="s">
        <v>2666</v>
      </c>
      <c r="S323" s="38" t="s">
        <v>2667</v>
      </c>
      <c r="T323" s="38" t="s">
        <v>65</v>
      </c>
      <c r="U323" s="38">
        <v>81268943783</v>
      </c>
      <c r="V323" s="60">
        <v>43229</v>
      </c>
      <c r="W323" s="41" t="s">
        <v>2668</v>
      </c>
      <c r="X323" s="38" t="s">
        <v>2669</v>
      </c>
      <c r="Y323" s="38" t="s">
        <v>52</v>
      </c>
      <c r="Z323" s="38" t="s">
        <v>156</v>
      </c>
      <c r="AA323" s="38" t="s">
        <v>125</v>
      </c>
      <c r="AB323" s="38" t="s">
        <v>2164</v>
      </c>
      <c r="AC323" s="45"/>
      <c r="AD323" s="7"/>
      <c r="AE323" s="7"/>
      <c r="AF323" s="46" t="str">
        <f>IF(R323="","",RIGHT(R323,LEN(R323)-FIND("@",R323)))</f>
        <v>gmail.com</v>
      </c>
      <c r="AG323" s="47">
        <f>LEN(R323)-LEN(SUBSTITUTE(R323," ",""))</f>
        <v>0</v>
      </c>
      <c r="AH323" s="46" t="str">
        <f>SUBSTITUTE(R323," ","")</f>
        <v>imambusyairi553@gmail.com</v>
      </c>
      <c r="AI323" s="46">
        <f>LEN(AH323)-LEN(SUBSTITUTE(AH323," ",""))</f>
        <v>0</v>
      </c>
    </row>
    <row r="324" spans="1:35" x14ac:dyDescent="0.25">
      <c r="A324" s="36">
        <v>317</v>
      </c>
      <c r="B324" s="37" t="s">
        <v>2670</v>
      </c>
      <c r="C324" s="38" t="s">
        <v>2671</v>
      </c>
      <c r="D324" s="39">
        <v>33959</v>
      </c>
      <c r="E324" s="38" t="s">
        <v>95</v>
      </c>
      <c r="F324" s="40" t="s">
        <v>48</v>
      </c>
      <c r="G324" s="38" t="s">
        <v>2672</v>
      </c>
      <c r="H324" s="38" t="s">
        <v>72</v>
      </c>
      <c r="I324" s="38" t="s">
        <v>44</v>
      </c>
      <c r="J324" s="41" t="s">
        <v>2673</v>
      </c>
      <c r="K324" s="41" t="s">
        <v>2674</v>
      </c>
      <c r="L324" s="41" t="s">
        <v>2675</v>
      </c>
      <c r="M324" s="38" t="s">
        <v>99</v>
      </c>
      <c r="N324" s="41" t="s">
        <v>2676</v>
      </c>
      <c r="O324" s="41" t="s">
        <v>428</v>
      </c>
      <c r="P324" s="41" t="s">
        <v>2677</v>
      </c>
      <c r="Q324" s="41" t="s">
        <v>2678</v>
      </c>
      <c r="R324" s="74" t="s">
        <v>2679</v>
      </c>
      <c r="S324" s="38" t="s">
        <v>2680</v>
      </c>
      <c r="T324" s="38" t="s">
        <v>753</v>
      </c>
      <c r="U324" s="41" t="s">
        <v>2681</v>
      </c>
      <c r="V324" s="60">
        <v>43231</v>
      </c>
      <c r="W324" s="41" t="s">
        <v>2682</v>
      </c>
      <c r="X324" s="38" t="s">
        <v>2683</v>
      </c>
      <c r="Y324" s="38" t="s">
        <v>52</v>
      </c>
      <c r="Z324" s="38" t="s">
        <v>172</v>
      </c>
      <c r="AA324" s="38" t="s">
        <v>125</v>
      </c>
      <c r="AB324" s="38" t="s">
        <v>689</v>
      </c>
      <c r="AC324" s="45"/>
      <c r="AD324" s="7"/>
      <c r="AE324" s="7"/>
      <c r="AF324" s="46" t="str">
        <f>IF(R324="","",RIGHT(R324,LEN(R324)-FIND("@",R324)))</f>
        <v>gmail.com</v>
      </c>
      <c r="AG324" s="47">
        <f>LEN(R324)-LEN(SUBSTITUTE(R324," ",""))</f>
        <v>0</v>
      </c>
      <c r="AH324" s="46" t="str">
        <f>SUBSTITUTE(R324," ","")</f>
        <v>yanie7666@gmail.com</v>
      </c>
      <c r="AI324" s="46">
        <f>LEN(AH324)-LEN(SUBSTITUTE(AH324," ",""))</f>
        <v>0</v>
      </c>
    </row>
    <row r="325" spans="1:35" x14ac:dyDescent="0.25">
      <c r="A325" s="36">
        <v>318</v>
      </c>
      <c r="B325" s="37" t="s">
        <v>2684</v>
      </c>
      <c r="C325" s="38" t="s">
        <v>548</v>
      </c>
      <c r="D325" s="39">
        <v>34700</v>
      </c>
      <c r="E325" s="38" t="s">
        <v>40</v>
      </c>
      <c r="F325" s="38" t="s">
        <v>48</v>
      </c>
      <c r="G325" s="38" t="s">
        <v>2685</v>
      </c>
      <c r="H325" s="38" t="s">
        <v>113</v>
      </c>
      <c r="I325" s="38" t="s">
        <v>114</v>
      </c>
      <c r="J325" s="41" t="s">
        <v>2686</v>
      </c>
      <c r="K325" s="41" t="s">
        <v>2687</v>
      </c>
      <c r="L325" s="41"/>
      <c r="M325" s="38" t="s">
        <v>99</v>
      </c>
      <c r="N325" s="41" t="s">
        <v>2688</v>
      </c>
      <c r="O325" s="41" t="s">
        <v>76</v>
      </c>
      <c r="P325" s="41" t="s">
        <v>2689</v>
      </c>
      <c r="Q325" s="41" t="s">
        <v>2690</v>
      </c>
      <c r="R325" s="50" t="s">
        <v>2691</v>
      </c>
      <c r="S325" s="38" t="s">
        <v>2692</v>
      </c>
      <c r="T325" s="38" t="s">
        <v>2693</v>
      </c>
      <c r="U325" s="38" t="s">
        <v>2694</v>
      </c>
      <c r="V325" s="60">
        <v>43231</v>
      </c>
      <c r="W325" s="41" t="s">
        <v>2695</v>
      </c>
      <c r="X325" s="38" t="s">
        <v>2696</v>
      </c>
      <c r="Y325" s="38" t="s">
        <v>52</v>
      </c>
      <c r="Z325" s="38" t="s">
        <v>2697</v>
      </c>
      <c r="AA325" s="38" t="s">
        <v>125</v>
      </c>
      <c r="AB325" s="38" t="s">
        <v>641</v>
      </c>
      <c r="AC325" s="45"/>
      <c r="AD325" s="7"/>
      <c r="AE325" s="7"/>
      <c r="AF325" s="46" t="str">
        <f>IF(R325="","",RIGHT(R325,LEN(R325)-FIND("@",R325)))</f>
        <v>gmail.com</v>
      </c>
      <c r="AG325" s="47">
        <f>LEN(R325)-LEN(SUBSTITUTE(R325," ",""))</f>
        <v>0</v>
      </c>
      <c r="AH325" s="46" t="str">
        <f>SUBSTITUTE(R325," ","")</f>
        <v>anggikpradana01@gmail.com</v>
      </c>
      <c r="AI325" s="46">
        <f>LEN(AH325)-LEN(SUBSTITUTE(AH325," ",""))</f>
        <v>0</v>
      </c>
    </row>
    <row r="326" spans="1:35" x14ac:dyDescent="0.25">
      <c r="A326" s="36">
        <v>319</v>
      </c>
      <c r="B326" s="37" t="s">
        <v>2698</v>
      </c>
      <c r="C326" s="38" t="s">
        <v>554</v>
      </c>
      <c r="D326" s="39">
        <v>35907</v>
      </c>
      <c r="E326" s="38" t="s">
        <v>40</v>
      </c>
      <c r="F326" s="40" t="s">
        <v>48</v>
      </c>
      <c r="G326" s="38" t="s">
        <v>2699</v>
      </c>
      <c r="H326" s="38" t="s">
        <v>72</v>
      </c>
      <c r="I326" s="38" t="s">
        <v>114</v>
      </c>
      <c r="J326" s="43" t="s">
        <v>2700</v>
      </c>
      <c r="K326" s="43" t="s">
        <v>1904</v>
      </c>
      <c r="L326" s="43"/>
      <c r="M326" s="38" t="s">
        <v>99</v>
      </c>
      <c r="N326" s="43" t="s">
        <v>2701</v>
      </c>
      <c r="O326" s="43" t="s">
        <v>428</v>
      </c>
      <c r="P326" s="41" t="s">
        <v>2702</v>
      </c>
      <c r="Q326" s="43" t="s">
        <v>2703</v>
      </c>
      <c r="R326" s="50" t="s">
        <v>2704</v>
      </c>
      <c r="S326" s="38" t="s">
        <v>2705</v>
      </c>
      <c r="T326" s="38" t="s">
        <v>65</v>
      </c>
      <c r="U326" s="40" t="s">
        <v>2706</v>
      </c>
      <c r="V326" s="60">
        <v>43231</v>
      </c>
      <c r="W326" s="41" t="s">
        <v>2707</v>
      </c>
      <c r="X326" s="38" t="s">
        <v>2708</v>
      </c>
      <c r="Y326" s="38" t="s">
        <v>52</v>
      </c>
      <c r="Z326" s="38" t="s">
        <v>226</v>
      </c>
      <c r="AA326" s="38" t="s">
        <v>125</v>
      </c>
      <c r="AB326" s="38" t="s">
        <v>546</v>
      </c>
      <c r="AC326" s="45"/>
      <c r="AD326" s="7"/>
      <c r="AE326" s="7"/>
      <c r="AF326" s="46"/>
      <c r="AG326" s="47"/>
      <c r="AH326" s="46"/>
      <c r="AI326" s="46"/>
    </row>
    <row r="327" spans="1:35" x14ac:dyDescent="0.25">
      <c r="A327" s="48">
        <v>320</v>
      </c>
      <c r="B327" s="37" t="s">
        <v>2709</v>
      </c>
      <c r="C327" s="38" t="s">
        <v>2710</v>
      </c>
      <c r="D327" s="39">
        <v>35359</v>
      </c>
      <c r="E327" s="38" t="s">
        <v>95</v>
      </c>
      <c r="F327" s="38" t="s">
        <v>129</v>
      </c>
      <c r="G327" s="38" t="s">
        <v>2711</v>
      </c>
      <c r="H327" s="38" t="s">
        <v>72</v>
      </c>
      <c r="I327" s="38" t="s">
        <v>114</v>
      </c>
      <c r="J327" s="41" t="s">
        <v>2712</v>
      </c>
      <c r="K327" s="41" t="s">
        <v>2713</v>
      </c>
      <c r="L327" s="41" t="s">
        <v>2714</v>
      </c>
      <c r="M327" s="38" t="s">
        <v>99</v>
      </c>
      <c r="N327" s="41" t="s">
        <v>2715</v>
      </c>
      <c r="O327" s="41" t="s">
        <v>76</v>
      </c>
      <c r="P327" s="41" t="s">
        <v>2716</v>
      </c>
      <c r="Q327" s="41" t="s">
        <v>2717</v>
      </c>
      <c r="R327" s="74" t="s">
        <v>2718</v>
      </c>
      <c r="S327" s="38" t="s">
        <v>2719</v>
      </c>
      <c r="T327" s="38" t="s">
        <v>2720</v>
      </c>
      <c r="U327" s="38" t="s">
        <v>2721</v>
      </c>
      <c r="V327" s="60">
        <v>43231</v>
      </c>
      <c r="W327" s="41" t="s">
        <v>2722</v>
      </c>
      <c r="X327" s="38" t="s">
        <v>2723</v>
      </c>
      <c r="Y327" s="38" t="s">
        <v>52</v>
      </c>
      <c r="Z327" s="38" t="s">
        <v>172</v>
      </c>
      <c r="AA327" s="38" t="s">
        <v>125</v>
      </c>
      <c r="AB327" s="38" t="s">
        <v>689</v>
      </c>
      <c r="AC327" s="45"/>
      <c r="AD327" s="7"/>
      <c r="AE327" s="7"/>
      <c r="AF327" s="46" t="str">
        <f>IF(R327="","",RIGHT(R327,LEN(R327)-FIND("@",R327)))</f>
        <v>gmail.com</v>
      </c>
      <c r="AG327" s="47">
        <f>LEN(R327)-LEN(SUBSTITUTE(R327," ",""))</f>
        <v>0</v>
      </c>
      <c r="AH327" s="46" t="str">
        <f>SUBSTITUTE(R327," ","")</f>
        <v>utamihadi9@gmail.com</v>
      </c>
      <c r="AI327" s="46">
        <f>LEN(AH327)-LEN(SUBSTITUTE(AH327," ",""))</f>
        <v>0</v>
      </c>
    </row>
    <row r="328" spans="1:35" x14ac:dyDescent="0.25">
      <c r="A328" s="36">
        <v>321</v>
      </c>
      <c r="B328" s="53" t="s">
        <v>2724</v>
      </c>
      <c r="C328" s="54" t="s">
        <v>94</v>
      </c>
      <c r="D328" s="55">
        <v>36276</v>
      </c>
      <c r="E328" s="54" t="s">
        <v>95</v>
      </c>
      <c r="F328" s="53"/>
      <c r="G328" s="54" t="s">
        <v>2725</v>
      </c>
      <c r="H328" s="54"/>
      <c r="I328" s="54"/>
      <c r="J328" s="54" t="s">
        <v>2726</v>
      </c>
      <c r="K328" s="54"/>
      <c r="L328" s="54"/>
      <c r="M328" s="54" t="s">
        <v>99</v>
      </c>
      <c r="N328" s="54"/>
      <c r="O328" s="54"/>
      <c r="P328" s="54"/>
      <c r="Q328" s="54" t="s">
        <v>2727</v>
      </c>
      <c r="R328" s="57" t="s">
        <v>74</v>
      </c>
      <c r="S328" s="54" t="s">
        <v>2728</v>
      </c>
      <c r="T328" s="54"/>
      <c r="U328" s="54" t="s">
        <v>2729</v>
      </c>
      <c r="V328" s="55">
        <v>43236</v>
      </c>
      <c r="W328" s="54"/>
      <c r="X328" s="54"/>
      <c r="Y328" s="54" t="s">
        <v>85</v>
      </c>
      <c r="Z328" s="54"/>
      <c r="AA328" s="54"/>
      <c r="AB328" s="54"/>
      <c r="AC328" s="58">
        <v>43344</v>
      </c>
      <c r="AD328" s="7"/>
      <c r="AE328" s="7"/>
      <c r="AF328" s="46" t="str">
        <f>IF(R328="","",RIGHT(R328,LEN(R328)-FIND("@",R328)))</f>
        <v/>
      </c>
      <c r="AG328" s="47">
        <f>LEN(R328)-LEN(SUBSTITUTE(R328," ",""))</f>
        <v>0</v>
      </c>
      <c r="AH328" s="46" t="str">
        <f>SUBSTITUTE(R328," ","")</f>
        <v/>
      </c>
      <c r="AI328" s="46">
        <f>LEN(AH328)-LEN(SUBSTITUTE(AH328," ",""))</f>
        <v>0</v>
      </c>
    </row>
    <row r="329" spans="1:35" x14ac:dyDescent="0.25">
      <c r="A329" s="36">
        <v>322</v>
      </c>
      <c r="B329" s="53" t="s">
        <v>2730</v>
      </c>
      <c r="C329" s="54" t="s">
        <v>94</v>
      </c>
      <c r="D329" s="55">
        <v>35601</v>
      </c>
      <c r="E329" s="54" t="s">
        <v>40</v>
      </c>
      <c r="F329" s="53"/>
      <c r="G329" s="54" t="s">
        <v>2731</v>
      </c>
      <c r="H329" s="54"/>
      <c r="I329" s="54"/>
      <c r="J329" s="54" t="s">
        <v>2732</v>
      </c>
      <c r="K329" s="54"/>
      <c r="L329" s="54"/>
      <c r="M329" s="54"/>
      <c r="N329" s="54"/>
      <c r="O329" s="54"/>
      <c r="P329" s="54"/>
      <c r="Q329" s="54" t="s">
        <v>2733</v>
      </c>
      <c r="R329" s="57" t="s">
        <v>74</v>
      </c>
      <c r="S329" s="54" t="s">
        <v>2734</v>
      </c>
      <c r="T329" s="54"/>
      <c r="U329" s="54" t="s">
        <v>2735</v>
      </c>
      <c r="V329" s="55">
        <v>43236</v>
      </c>
      <c r="W329" s="54"/>
      <c r="X329" s="54"/>
      <c r="Y329" s="54" t="s">
        <v>85</v>
      </c>
      <c r="Z329" s="54"/>
      <c r="AA329" s="54"/>
      <c r="AB329" s="54"/>
      <c r="AC329" s="58">
        <v>43374</v>
      </c>
      <c r="AD329" s="7"/>
      <c r="AE329" s="7"/>
      <c r="AF329" s="46"/>
      <c r="AG329" s="47"/>
      <c r="AH329" s="46"/>
      <c r="AI329" s="46"/>
    </row>
    <row r="330" spans="1:35" x14ac:dyDescent="0.25">
      <c r="A330" s="36">
        <v>323</v>
      </c>
      <c r="B330" s="37" t="s">
        <v>2736</v>
      </c>
      <c r="C330" s="38" t="s">
        <v>2737</v>
      </c>
      <c r="D330" s="39">
        <v>36554</v>
      </c>
      <c r="E330" s="38" t="s">
        <v>95</v>
      </c>
      <c r="F330" s="40" t="s">
        <v>48</v>
      </c>
      <c r="G330" s="38" t="s">
        <v>2738</v>
      </c>
      <c r="H330" s="38" t="s">
        <v>113</v>
      </c>
      <c r="I330" s="38" t="s">
        <v>114</v>
      </c>
      <c r="J330" s="43" t="s">
        <v>2739</v>
      </c>
      <c r="K330" s="41"/>
      <c r="L330" s="41"/>
      <c r="M330" s="38" t="s">
        <v>99</v>
      </c>
      <c r="N330" s="43" t="s">
        <v>2740</v>
      </c>
      <c r="O330" s="43" t="s">
        <v>428</v>
      </c>
      <c r="P330" s="41" t="s">
        <v>2741</v>
      </c>
      <c r="Q330" s="41"/>
      <c r="R330" s="50" t="s">
        <v>2742</v>
      </c>
      <c r="S330" s="38" t="s">
        <v>431</v>
      </c>
      <c r="T330" s="38"/>
      <c r="U330" s="38"/>
      <c r="V330" s="60">
        <v>43237</v>
      </c>
      <c r="W330" s="41" t="s">
        <v>2743</v>
      </c>
      <c r="X330" s="38" t="s">
        <v>2744</v>
      </c>
      <c r="Y330" s="38" t="s">
        <v>52</v>
      </c>
      <c r="Z330" s="38" t="s">
        <v>172</v>
      </c>
      <c r="AA330" s="38" t="s">
        <v>125</v>
      </c>
      <c r="AB330" s="38" t="s">
        <v>434</v>
      </c>
      <c r="AC330" s="45"/>
      <c r="AD330" s="7"/>
      <c r="AE330" s="7"/>
      <c r="AF330" s="46"/>
      <c r="AG330" s="47"/>
      <c r="AH330" s="46"/>
      <c r="AI330" s="46"/>
    </row>
    <row r="331" spans="1:35" x14ac:dyDescent="0.25">
      <c r="A331" s="36">
        <v>324</v>
      </c>
      <c r="B331" s="37" t="s">
        <v>2745</v>
      </c>
      <c r="C331" s="38" t="s">
        <v>548</v>
      </c>
      <c r="D331" s="39">
        <v>36809</v>
      </c>
      <c r="E331" s="38" t="s">
        <v>40</v>
      </c>
      <c r="F331" s="40" t="s">
        <v>48</v>
      </c>
      <c r="G331" s="38" t="s">
        <v>2746</v>
      </c>
      <c r="H331" s="38" t="s">
        <v>113</v>
      </c>
      <c r="I331" s="38" t="s">
        <v>114</v>
      </c>
      <c r="J331" s="41" t="s">
        <v>2747</v>
      </c>
      <c r="K331" s="41" t="s">
        <v>2748</v>
      </c>
      <c r="L331" s="43"/>
      <c r="M331" s="38" t="s">
        <v>99</v>
      </c>
      <c r="N331" s="41" t="s">
        <v>2749</v>
      </c>
      <c r="O331" s="41" t="s">
        <v>164</v>
      </c>
      <c r="P331" s="41" t="s">
        <v>2750</v>
      </c>
      <c r="Q331" s="43" t="s">
        <v>2751</v>
      </c>
      <c r="R331" s="50" t="s">
        <v>2752</v>
      </c>
      <c r="S331" s="38" t="s">
        <v>2753</v>
      </c>
      <c r="T331" s="38" t="s">
        <v>242</v>
      </c>
      <c r="U331" s="40" t="s">
        <v>2754</v>
      </c>
      <c r="V331" s="60">
        <v>43238</v>
      </c>
      <c r="W331" s="41" t="s">
        <v>2755</v>
      </c>
      <c r="X331" s="38" t="s">
        <v>2756</v>
      </c>
      <c r="Y331" s="38" t="s">
        <v>52</v>
      </c>
      <c r="Z331" s="38" t="s">
        <v>296</v>
      </c>
      <c r="AA331" s="38" t="s">
        <v>213</v>
      </c>
      <c r="AB331" s="38" t="s">
        <v>214</v>
      </c>
      <c r="AC331" s="45"/>
      <c r="AD331" s="7"/>
      <c r="AE331" s="7"/>
      <c r="AF331" s="46"/>
      <c r="AG331" s="47"/>
      <c r="AH331" s="46"/>
      <c r="AI331" s="46"/>
    </row>
    <row r="332" spans="1:35" x14ac:dyDescent="0.25">
      <c r="A332" s="36">
        <v>325</v>
      </c>
      <c r="B332" s="37" t="s">
        <v>2757</v>
      </c>
      <c r="C332" s="38" t="s">
        <v>548</v>
      </c>
      <c r="D332" s="39">
        <v>35516</v>
      </c>
      <c r="E332" s="38" t="s">
        <v>40</v>
      </c>
      <c r="F332" s="40" t="s">
        <v>48</v>
      </c>
      <c r="G332" s="38" t="s">
        <v>2758</v>
      </c>
      <c r="H332" s="38" t="s">
        <v>113</v>
      </c>
      <c r="I332" s="38" t="s">
        <v>44</v>
      </c>
      <c r="J332" s="41" t="s">
        <v>2759</v>
      </c>
      <c r="K332" s="41" t="s">
        <v>2760</v>
      </c>
      <c r="L332" s="41"/>
      <c r="M332" s="38" t="s">
        <v>47</v>
      </c>
      <c r="N332" s="41" t="s">
        <v>2761</v>
      </c>
      <c r="O332" s="41" t="s">
        <v>76</v>
      </c>
      <c r="P332" s="41" t="s">
        <v>2762</v>
      </c>
      <c r="Q332" s="41" t="s">
        <v>2763</v>
      </c>
      <c r="R332" s="50" t="s">
        <v>2764</v>
      </c>
      <c r="S332" s="38" t="s">
        <v>2765</v>
      </c>
      <c r="T332" s="38" t="s">
        <v>463</v>
      </c>
      <c r="U332" s="38"/>
      <c r="V332" s="60">
        <v>43241</v>
      </c>
      <c r="W332" s="41" t="s">
        <v>2766</v>
      </c>
      <c r="X332" s="38" t="s">
        <v>2767</v>
      </c>
      <c r="Y332" s="38" t="s">
        <v>52</v>
      </c>
      <c r="Z332" s="38" t="s">
        <v>226</v>
      </c>
      <c r="AA332" s="38" t="s">
        <v>125</v>
      </c>
      <c r="AB332" s="38" t="s">
        <v>641</v>
      </c>
      <c r="AC332" s="45"/>
      <c r="AD332" s="7"/>
      <c r="AE332" s="7"/>
      <c r="AF332" s="46" t="str">
        <f>IF(R332="","",RIGHT(R332,LEN(R332)-FIND("@",R332)))</f>
        <v>gmail.com</v>
      </c>
      <c r="AG332" s="47">
        <f>LEN(R332)-LEN(SUBSTITUTE(R332," ",""))</f>
        <v>0</v>
      </c>
      <c r="AH332" s="46" t="str">
        <f>SUBSTITUTE(R332," ","")</f>
        <v>candrasmara10@gmail.com</v>
      </c>
      <c r="AI332" s="46">
        <f>LEN(AH332)-LEN(SUBSTITUTE(AH332," ",""))</f>
        <v>0</v>
      </c>
    </row>
    <row r="333" spans="1:35" x14ac:dyDescent="0.25">
      <c r="A333" s="48">
        <v>326</v>
      </c>
      <c r="B333" s="53" t="s">
        <v>2768</v>
      </c>
      <c r="C333" s="54" t="s">
        <v>94</v>
      </c>
      <c r="D333" s="55">
        <v>35525</v>
      </c>
      <c r="E333" s="54" t="s">
        <v>40</v>
      </c>
      <c r="F333" s="53"/>
      <c r="G333" s="54" t="s">
        <v>94</v>
      </c>
      <c r="H333" s="54"/>
      <c r="I333" s="54"/>
      <c r="J333" s="54" t="s">
        <v>2769</v>
      </c>
      <c r="K333" s="54"/>
      <c r="L333" s="54"/>
      <c r="M333" s="54"/>
      <c r="N333" s="54"/>
      <c r="O333" s="54"/>
      <c r="P333" s="54"/>
      <c r="Q333" s="54" t="s">
        <v>2770</v>
      </c>
      <c r="R333" s="57" t="s">
        <v>74</v>
      </c>
      <c r="S333" s="54" t="s">
        <v>2771</v>
      </c>
      <c r="T333" s="54"/>
      <c r="U333" s="54" t="s">
        <v>2772</v>
      </c>
      <c r="V333" s="55">
        <v>43241</v>
      </c>
      <c r="W333" s="54"/>
      <c r="X333" s="54"/>
      <c r="Y333" s="54" t="s">
        <v>85</v>
      </c>
      <c r="Z333" s="54"/>
      <c r="AA333" s="54"/>
      <c r="AB333" s="54"/>
      <c r="AC333" s="58">
        <v>43374</v>
      </c>
      <c r="AD333" s="7"/>
      <c r="AE333" s="7"/>
      <c r="AF333" s="46"/>
      <c r="AG333" s="47"/>
      <c r="AH333" s="46"/>
      <c r="AI333" s="46"/>
    </row>
    <row r="334" spans="1:35" x14ac:dyDescent="0.25">
      <c r="A334" s="36">
        <v>327</v>
      </c>
      <c r="B334" s="53" t="s">
        <v>2773</v>
      </c>
      <c r="C334" s="54" t="s">
        <v>554</v>
      </c>
      <c r="D334" s="55">
        <v>34712</v>
      </c>
      <c r="E334" s="54" t="s">
        <v>95</v>
      </c>
      <c r="F334" s="53"/>
      <c r="G334" s="54" t="s">
        <v>2774</v>
      </c>
      <c r="H334" s="54"/>
      <c r="I334" s="54"/>
      <c r="J334" s="54" t="s">
        <v>2775</v>
      </c>
      <c r="K334" s="54"/>
      <c r="L334" s="54"/>
      <c r="M334" s="54" t="s">
        <v>99</v>
      </c>
      <c r="N334" s="54"/>
      <c r="O334" s="54"/>
      <c r="P334" s="54"/>
      <c r="Q334" s="54" t="s">
        <v>2776</v>
      </c>
      <c r="R334" s="57" t="s">
        <v>74</v>
      </c>
      <c r="S334" s="54" t="s">
        <v>2774</v>
      </c>
      <c r="T334" s="54"/>
      <c r="U334" s="54"/>
      <c r="V334" s="55">
        <v>43245</v>
      </c>
      <c r="W334" s="54"/>
      <c r="X334" s="54"/>
      <c r="Y334" s="54" t="s">
        <v>85</v>
      </c>
      <c r="Z334" s="54"/>
      <c r="AA334" s="54"/>
      <c r="AB334" s="54"/>
      <c r="AC334" s="58">
        <v>43344</v>
      </c>
      <c r="AD334" s="7"/>
      <c r="AE334" s="7"/>
      <c r="AF334" s="46"/>
      <c r="AG334" s="47"/>
      <c r="AH334" s="46"/>
      <c r="AI334" s="46"/>
    </row>
    <row r="335" spans="1:35" x14ac:dyDescent="0.25">
      <c r="A335" s="36">
        <v>328</v>
      </c>
      <c r="B335" s="53" t="s">
        <v>2777</v>
      </c>
      <c r="C335" s="54" t="s">
        <v>2778</v>
      </c>
      <c r="D335" s="55">
        <v>35432</v>
      </c>
      <c r="E335" s="54" t="s">
        <v>40</v>
      </c>
      <c r="F335" s="53"/>
      <c r="G335" s="54" t="s">
        <v>2779</v>
      </c>
      <c r="H335" s="54"/>
      <c r="I335" s="54"/>
      <c r="J335" s="54" t="s">
        <v>2780</v>
      </c>
      <c r="K335" s="54"/>
      <c r="L335" s="54"/>
      <c r="M335" s="54"/>
      <c r="N335" s="54"/>
      <c r="O335" s="54"/>
      <c r="P335" s="54"/>
      <c r="Q335" s="54" t="s">
        <v>2781</v>
      </c>
      <c r="R335" s="57" t="s">
        <v>74</v>
      </c>
      <c r="S335" s="54" t="s">
        <v>2782</v>
      </c>
      <c r="T335" s="54"/>
      <c r="U335" s="54"/>
      <c r="V335" s="55">
        <v>43255</v>
      </c>
      <c r="W335" s="54"/>
      <c r="X335" s="54"/>
      <c r="Y335" s="54" t="s">
        <v>85</v>
      </c>
      <c r="Z335" s="54"/>
      <c r="AA335" s="54"/>
      <c r="AB335" s="54"/>
      <c r="AC335" s="58">
        <v>43290</v>
      </c>
      <c r="AD335" s="7"/>
      <c r="AE335" s="7"/>
      <c r="AF335" s="46"/>
      <c r="AG335" s="47"/>
      <c r="AH335" s="46"/>
      <c r="AI335" s="46"/>
    </row>
    <row r="336" spans="1:35" x14ac:dyDescent="0.25">
      <c r="A336" s="36">
        <v>329</v>
      </c>
      <c r="B336" s="53" t="s">
        <v>2783</v>
      </c>
      <c r="C336" s="54" t="s">
        <v>94</v>
      </c>
      <c r="D336" s="55">
        <v>34113</v>
      </c>
      <c r="E336" s="54" t="s">
        <v>95</v>
      </c>
      <c r="F336" s="53"/>
      <c r="G336" s="54" t="s">
        <v>2784</v>
      </c>
      <c r="H336" s="54"/>
      <c r="I336" s="54"/>
      <c r="J336" s="54" t="s">
        <v>2785</v>
      </c>
      <c r="K336" s="54"/>
      <c r="L336" s="54"/>
      <c r="M336" s="54" t="s">
        <v>99</v>
      </c>
      <c r="N336" s="54"/>
      <c r="O336" s="54"/>
      <c r="P336" s="54"/>
      <c r="Q336" s="54" t="s">
        <v>2786</v>
      </c>
      <c r="R336" s="57" t="s">
        <v>74</v>
      </c>
      <c r="S336" s="54" t="s">
        <v>2787</v>
      </c>
      <c r="T336" s="54"/>
      <c r="U336" s="54"/>
      <c r="V336" s="55">
        <v>43258</v>
      </c>
      <c r="W336" s="54"/>
      <c r="X336" s="54"/>
      <c r="Y336" s="54" t="s">
        <v>85</v>
      </c>
      <c r="Z336" s="54"/>
      <c r="AA336" s="54"/>
      <c r="AB336" s="54"/>
      <c r="AC336" s="58">
        <v>43282</v>
      </c>
      <c r="AD336" s="7"/>
      <c r="AE336" s="7"/>
      <c r="AF336" s="46"/>
      <c r="AG336" s="47"/>
      <c r="AH336" s="46"/>
      <c r="AI336" s="46"/>
    </row>
    <row r="337" spans="1:35" x14ac:dyDescent="0.25">
      <c r="A337" s="36">
        <v>330</v>
      </c>
      <c r="B337" s="53" t="s">
        <v>2788</v>
      </c>
      <c r="C337" s="54" t="s">
        <v>2789</v>
      </c>
      <c r="D337" s="55">
        <v>35253</v>
      </c>
      <c r="E337" s="54" t="s">
        <v>40</v>
      </c>
      <c r="F337" s="54" t="s">
        <v>48</v>
      </c>
      <c r="G337" s="54" t="s">
        <v>2790</v>
      </c>
      <c r="H337" s="54" t="s">
        <v>72</v>
      </c>
      <c r="I337" s="54" t="s">
        <v>2791</v>
      </c>
      <c r="J337" s="66" t="s">
        <v>2792</v>
      </c>
      <c r="K337" s="66" t="s">
        <v>2793</v>
      </c>
      <c r="L337" s="66"/>
      <c r="M337" s="54" t="s">
        <v>99</v>
      </c>
      <c r="N337" s="68" t="s">
        <v>2794</v>
      </c>
      <c r="O337" s="68" t="s">
        <v>428</v>
      </c>
      <c r="P337" s="68" t="s">
        <v>2795</v>
      </c>
      <c r="Q337" s="68" t="s">
        <v>2796</v>
      </c>
      <c r="R337" s="57" t="s">
        <v>2797</v>
      </c>
      <c r="S337" s="54" t="s">
        <v>2798</v>
      </c>
      <c r="T337" s="54" t="s">
        <v>2518</v>
      </c>
      <c r="U337" s="54" t="s">
        <v>2799</v>
      </c>
      <c r="V337" s="72">
        <v>43262</v>
      </c>
      <c r="W337" s="66" t="s">
        <v>2800</v>
      </c>
      <c r="X337" s="54" t="s">
        <v>2801</v>
      </c>
      <c r="Y337" s="54" t="s">
        <v>85</v>
      </c>
      <c r="Z337" s="54" t="s">
        <v>156</v>
      </c>
      <c r="AA337" s="54" t="s">
        <v>125</v>
      </c>
      <c r="AB337" s="54" t="s">
        <v>173</v>
      </c>
      <c r="AC337" s="58">
        <v>44005</v>
      </c>
      <c r="AD337" s="7"/>
      <c r="AE337" s="7"/>
      <c r="AF337" s="46"/>
      <c r="AG337" s="47"/>
      <c r="AH337" s="46"/>
      <c r="AI337" s="46"/>
    </row>
    <row r="338" spans="1:35" x14ac:dyDescent="0.25">
      <c r="A338" s="36">
        <v>331</v>
      </c>
      <c r="B338" s="37" t="s">
        <v>2802</v>
      </c>
      <c r="C338" s="38" t="s">
        <v>2803</v>
      </c>
      <c r="D338" s="39">
        <v>35853</v>
      </c>
      <c r="E338" s="38" t="s">
        <v>40</v>
      </c>
      <c r="F338" s="38" t="s">
        <v>48</v>
      </c>
      <c r="G338" s="38" t="s">
        <v>2804</v>
      </c>
      <c r="H338" s="38" t="s">
        <v>72</v>
      </c>
      <c r="I338" s="38" t="s">
        <v>114</v>
      </c>
      <c r="J338" s="41" t="s">
        <v>2805</v>
      </c>
      <c r="K338" s="41" t="s">
        <v>2806</v>
      </c>
      <c r="L338" s="41"/>
      <c r="M338" s="38" t="s">
        <v>99</v>
      </c>
      <c r="N338" s="41" t="s">
        <v>2807</v>
      </c>
      <c r="O338" s="41" t="s">
        <v>76</v>
      </c>
      <c r="P338" s="41" t="s">
        <v>2808</v>
      </c>
      <c r="Q338" s="41" t="s">
        <v>2809</v>
      </c>
      <c r="R338" s="50" t="s">
        <v>2810</v>
      </c>
      <c r="S338" s="38" t="s">
        <v>2811</v>
      </c>
      <c r="T338" s="38" t="s">
        <v>209</v>
      </c>
      <c r="U338" s="38" t="s">
        <v>475</v>
      </c>
      <c r="V338" s="60">
        <v>43270</v>
      </c>
      <c r="W338" s="41" t="s">
        <v>2812</v>
      </c>
      <c r="X338" s="38" t="s">
        <v>2813</v>
      </c>
      <c r="Y338" s="38" t="s">
        <v>52</v>
      </c>
      <c r="Z338" s="38" t="s">
        <v>156</v>
      </c>
      <c r="AA338" s="38" t="s">
        <v>125</v>
      </c>
      <c r="AB338" s="38" t="s">
        <v>341</v>
      </c>
      <c r="AC338" s="45"/>
      <c r="AD338" s="7"/>
      <c r="AE338" s="7"/>
      <c r="AF338" s="46" t="str">
        <f>IF(R338="","",RIGHT(R338,LEN(R338)-FIND("@",R338)))</f>
        <v>gmail.com</v>
      </c>
      <c r="AG338" s="47">
        <f>LEN(R338)-LEN(SUBSTITUTE(R338," ",""))</f>
        <v>0</v>
      </c>
      <c r="AH338" s="46" t="str">
        <f>SUBSTITUTE(R338," ","")</f>
        <v>febrianwisnu392@gmail.com</v>
      </c>
      <c r="AI338" s="46">
        <f>LEN(AH338)-LEN(SUBSTITUTE(AH338," ",""))</f>
        <v>0</v>
      </c>
    </row>
    <row r="339" spans="1:35" x14ac:dyDescent="0.25">
      <c r="A339" s="48">
        <v>332</v>
      </c>
      <c r="B339" s="53" t="s">
        <v>2814</v>
      </c>
      <c r="C339" s="54" t="s">
        <v>712</v>
      </c>
      <c r="D339" s="55">
        <v>35639</v>
      </c>
      <c r="E339" s="54" t="s">
        <v>95</v>
      </c>
      <c r="F339" s="53"/>
      <c r="G339" s="54" t="s">
        <v>2815</v>
      </c>
      <c r="H339" s="54"/>
      <c r="I339" s="54"/>
      <c r="J339" s="54" t="s">
        <v>2816</v>
      </c>
      <c r="K339" s="54"/>
      <c r="L339" s="54"/>
      <c r="M339" s="54" t="s">
        <v>99</v>
      </c>
      <c r="N339" s="54"/>
      <c r="O339" s="54"/>
      <c r="P339" s="54"/>
      <c r="Q339" s="54" t="s">
        <v>2817</v>
      </c>
      <c r="R339" s="57" t="s">
        <v>74</v>
      </c>
      <c r="S339" s="54" t="s">
        <v>2815</v>
      </c>
      <c r="T339" s="54"/>
      <c r="U339" s="54" t="s">
        <v>2818</v>
      </c>
      <c r="V339" s="55">
        <v>43277</v>
      </c>
      <c r="W339" s="54"/>
      <c r="X339" s="54"/>
      <c r="Y339" s="54" t="s">
        <v>85</v>
      </c>
      <c r="Z339" s="54"/>
      <c r="AA339" s="54"/>
      <c r="AB339" s="54"/>
      <c r="AC339" s="58">
        <v>43708</v>
      </c>
      <c r="AD339" s="7"/>
      <c r="AE339" s="7"/>
      <c r="AF339" s="46" t="str">
        <f>IF(R339="","",RIGHT(R339,LEN(R339)-FIND("@",R339)))</f>
        <v/>
      </c>
      <c r="AG339" s="47">
        <f>LEN(R339)-LEN(SUBSTITUTE(R339," ",""))</f>
        <v>0</v>
      </c>
      <c r="AH339" s="46" t="str">
        <f>SUBSTITUTE(R339," ","")</f>
        <v/>
      </c>
      <c r="AI339" s="46">
        <f>LEN(AH339)-LEN(SUBSTITUTE(AH339," ",""))</f>
        <v>0</v>
      </c>
    </row>
    <row r="340" spans="1:35" x14ac:dyDescent="0.25">
      <c r="A340" s="36">
        <v>333</v>
      </c>
      <c r="B340" s="53" t="s">
        <v>2819</v>
      </c>
      <c r="C340" s="54" t="s">
        <v>94</v>
      </c>
      <c r="D340" s="55">
        <v>34275</v>
      </c>
      <c r="E340" s="54" t="s">
        <v>40</v>
      </c>
      <c r="F340" s="53"/>
      <c r="G340" s="54" t="s">
        <v>2820</v>
      </c>
      <c r="H340" s="54"/>
      <c r="I340" s="54"/>
      <c r="J340" s="54" t="s">
        <v>2821</v>
      </c>
      <c r="K340" s="54"/>
      <c r="L340" s="54"/>
      <c r="M340" s="54"/>
      <c r="N340" s="54"/>
      <c r="O340" s="54"/>
      <c r="P340" s="54"/>
      <c r="Q340" s="54" t="s">
        <v>2822</v>
      </c>
      <c r="R340" s="57" t="s">
        <v>74</v>
      </c>
      <c r="S340" s="54" t="s">
        <v>2823</v>
      </c>
      <c r="T340" s="54"/>
      <c r="U340" s="54" t="s">
        <v>2824</v>
      </c>
      <c r="V340" s="55">
        <v>43280</v>
      </c>
      <c r="W340" s="54"/>
      <c r="X340" s="54"/>
      <c r="Y340" s="54" t="s">
        <v>85</v>
      </c>
      <c r="Z340" s="54"/>
      <c r="AA340" s="54"/>
      <c r="AB340" s="54"/>
      <c r="AC340" s="58">
        <v>43617</v>
      </c>
      <c r="AD340" s="7"/>
      <c r="AE340" s="7"/>
      <c r="AF340" s="46"/>
      <c r="AG340" s="47"/>
      <c r="AH340" s="46"/>
      <c r="AI340" s="46"/>
    </row>
    <row r="341" spans="1:35" x14ac:dyDescent="0.25">
      <c r="A341" s="36">
        <v>334</v>
      </c>
      <c r="B341" s="37" t="s">
        <v>2825</v>
      </c>
      <c r="C341" s="38" t="s">
        <v>2826</v>
      </c>
      <c r="D341" s="39">
        <v>34931</v>
      </c>
      <c r="E341" s="38" t="s">
        <v>40</v>
      </c>
      <c r="F341" s="38" t="s">
        <v>129</v>
      </c>
      <c r="G341" s="38" t="s">
        <v>2827</v>
      </c>
      <c r="H341" s="38" t="s">
        <v>510</v>
      </c>
      <c r="I341" s="38" t="s">
        <v>114</v>
      </c>
      <c r="J341" s="41" t="s">
        <v>2828</v>
      </c>
      <c r="K341" s="41" t="s">
        <v>2829</v>
      </c>
      <c r="L341" s="43"/>
      <c r="M341" s="38" t="s">
        <v>99</v>
      </c>
      <c r="N341" s="43" t="s">
        <v>48</v>
      </c>
      <c r="O341" s="43"/>
      <c r="P341" s="43" t="s">
        <v>2830</v>
      </c>
      <c r="Q341" s="41"/>
      <c r="R341" s="50" t="s">
        <v>2831</v>
      </c>
      <c r="S341" s="38" t="s">
        <v>2832</v>
      </c>
      <c r="T341" s="38"/>
      <c r="U341" s="38"/>
      <c r="V341" s="60">
        <v>43281</v>
      </c>
      <c r="W341" s="41" t="s">
        <v>2833</v>
      </c>
      <c r="X341" s="38">
        <v>1310</v>
      </c>
      <c r="Y341" s="38" t="s">
        <v>52</v>
      </c>
      <c r="Z341" s="38" t="s">
        <v>1816</v>
      </c>
      <c r="AA341" s="38" t="s">
        <v>777</v>
      </c>
      <c r="AB341" s="38" t="s">
        <v>778</v>
      </c>
      <c r="AC341" s="45"/>
      <c r="AD341" s="7"/>
      <c r="AE341" s="7"/>
      <c r="AF341" s="46" t="str">
        <f>IF(R341="","",RIGHT(R341,LEN(R341)-FIND("@",R341)))</f>
        <v>gmail.com</v>
      </c>
      <c r="AG341" s="47">
        <f>LEN(R341)-LEN(SUBSTITUTE(R341," ",""))</f>
        <v>0</v>
      </c>
      <c r="AH341" s="46" t="str">
        <f>SUBSTITUTE(R341," ","")</f>
        <v>arlanagung100@gmail.com</v>
      </c>
      <c r="AI341" s="46">
        <f>LEN(AH341)-LEN(SUBSTITUTE(AH341," ",""))</f>
        <v>0</v>
      </c>
    </row>
    <row r="342" spans="1:35" x14ac:dyDescent="0.25">
      <c r="A342" s="36">
        <v>335</v>
      </c>
      <c r="B342" s="37" t="s">
        <v>2834</v>
      </c>
      <c r="C342" s="38" t="s">
        <v>94</v>
      </c>
      <c r="D342" s="39">
        <v>33502</v>
      </c>
      <c r="E342" s="38" t="s">
        <v>40</v>
      </c>
      <c r="F342" s="38" t="s">
        <v>304</v>
      </c>
      <c r="G342" s="38" t="s">
        <v>2835</v>
      </c>
      <c r="H342" s="38" t="s">
        <v>72</v>
      </c>
      <c r="I342" s="38" t="s">
        <v>44</v>
      </c>
      <c r="J342" s="41" t="s">
        <v>2836</v>
      </c>
      <c r="K342" s="41" t="s">
        <v>2837</v>
      </c>
      <c r="L342" s="41"/>
      <c r="M342" s="38" t="s">
        <v>632</v>
      </c>
      <c r="N342" s="41" t="s">
        <v>2838</v>
      </c>
      <c r="O342" s="41" t="s">
        <v>76</v>
      </c>
      <c r="P342" s="41" t="s">
        <v>2839</v>
      </c>
      <c r="Q342" s="41" t="s">
        <v>2840</v>
      </c>
      <c r="R342" s="50" t="s">
        <v>2841</v>
      </c>
      <c r="S342" s="38" t="s">
        <v>2842</v>
      </c>
      <c r="T342" s="38" t="s">
        <v>2843</v>
      </c>
      <c r="U342" s="38">
        <v>81236754062</v>
      </c>
      <c r="V342" s="60">
        <v>43283</v>
      </c>
      <c r="W342" s="41" t="s">
        <v>2844</v>
      </c>
      <c r="X342" s="38">
        <v>1311</v>
      </c>
      <c r="Y342" s="38" t="s">
        <v>52</v>
      </c>
      <c r="Z342" s="38" t="s">
        <v>735</v>
      </c>
      <c r="AA342" s="38" t="s">
        <v>125</v>
      </c>
      <c r="AB342" s="38" t="s">
        <v>173</v>
      </c>
      <c r="AC342" s="45"/>
      <c r="AD342" s="7"/>
      <c r="AE342" s="7"/>
      <c r="AF342" s="46" t="str">
        <f>IF(R342="","",RIGHT(R342,LEN(R342)-FIND("@",R342)))</f>
        <v>gmail.com</v>
      </c>
      <c r="AG342" s="47">
        <f>LEN(R342)-LEN(SUBSTITUTE(R342," ",""))</f>
        <v>0</v>
      </c>
      <c r="AH342" s="46" t="str">
        <f>SUBSTITUTE(R342," ","")</f>
        <v>celuk2013@gmail.com</v>
      </c>
      <c r="AI342" s="46">
        <f>LEN(AH342)-LEN(SUBSTITUTE(AH342," ",""))</f>
        <v>0</v>
      </c>
    </row>
    <row r="343" spans="1:35" x14ac:dyDescent="0.25">
      <c r="A343" s="36">
        <v>336</v>
      </c>
      <c r="B343" s="37" t="s">
        <v>2845</v>
      </c>
      <c r="C343" s="38" t="s">
        <v>328</v>
      </c>
      <c r="D343" s="39">
        <v>36527</v>
      </c>
      <c r="E343" s="38" t="s">
        <v>40</v>
      </c>
      <c r="F343" s="40" t="s">
        <v>48</v>
      </c>
      <c r="G343" s="38" t="s">
        <v>2846</v>
      </c>
      <c r="H343" s="38" t="s">
        <v>113</v>
      </c>
      <c r="I343" s="38" t="s">
        <v>114</v>
      </c>
      <c r="J343" s="41" t="s">
        <v>2847</v>
      </c>
      <c r="K343" s="41" t="s">
        <v>2848</v>
      </c>
      <c r="L343" s="43"/>
      <c r="M343" s="38" t="s">
        <v>99</v>
      </c>
      <c r="N343" s="43" t="s">
        <v>2849</v>
      </c>
      <c r="O343" s="43" t="s">
        <v>76</v>
      </c>
      <c r="P343" s="41" t="s">
        <v>2850</v>
      </c>
      <c r="Q343" s="43" t="s">
        <v>2851</v>
      </c>
      <c r="R343" s="50" t="s">
        <v>2852</v>
      </c>
      <c r="S343" s="38" t="s">
        <v>2853</v>
      </c>
      <c r="T343" s="38" t="s">
        <v>613</v>
      </c>
      <c r="U343" s="40" t="s">
        <v>2854</v>
      </c>
      <c r="V343" s="60">
        <v>43283</v>
      </c>
      <c r="W343" s="41" t="s">
        <v>2855</v>
      </c>
      <c r="X343" s="38">
        <v>1312</v>
      </c>
      <c r="Y343" s="38" t="s">
        <v>52</v>
      </c>
      <c r="Z343" s="38" t="s">
        <v>454</v>
      </c>
      <c r="AA343" s="38" t="s">
        <v>125</v>
      </c>
      <c r="AB343" s="38" t="s">
        <v>193</v>
      </c>
      <c r="AC343" s="45"/>
      <c r="AD343" s="7"/>
      <c r="AE343" s="7"/>
      <c r="AF343" s="46" t="str">
        <f>IF(R343="","",RIGHT(R343,LEN(R343)-FIND("@",R343)))</f>
        <v>gmail.com</v>
      </c>
      <c r="AG343" s="47">
        <f>LEN(R343)-LEN(SUBSTITUTE(R343," ",""))</f>
        <v>0</v>
      </c>
      <c r="AH343" s="46" t="str">
        <f>SUBSTITUTE(R343," ","")</f>
        <v>wahfiudinwabarok12@gmail.com</v>
      </c>
      <c r="AI343" s="46">
        <f>LEN(AH343)-LEN(SUBSTITUTE(AH343," ",""))</f>
        <v>0</v>
      </c>
    </row>
    <row r="344" spans="1:35" x14ac:dyDescent="0.25">
      <c r="A344" s="36">
        <v>337</v>
      </c>
      <c r="B344" s="37" t="s">
        <v>2856</v>
      </c>
      <c r="C344" s="38" t="s">
        <v>273</v>
      </c>
      <c r="D344" s="39">
        <v>36686</v>
      </c>
      <c r="E344" s="38" t="s">
        <v>40</v>
      </c>
      <c r="F344" s="40" t="s">
        <v>48</v>
      </c>
      <c r="G344" s="38" t="s">
        <v>2857</v>
      </c>
      <c r="H344" s="38" t="s">
        <v>113</v>
      </c>
      <c r="I344" s="38" t="s">
        <v>114</v>
      </c>
      <c r="J344" s="41" t="s">
        <v>2858</v>
      </c>
      <c r="K344" s="41" t="s">
        <v>2859</v>
      </c>
      <c r="L344" s="43"/>
      <c r="M344" s="38" t="s">
        <v>99</v>
      </c>
      <c r="N344" s="43" t="s">
        <v>2860</v>
      </c>
      <c r="O344" s="43" t="s">
        <v>428</v>
      </c>
      <c r="P344" s="41" t="s">
        <v>2861</v>
      </c>
      <c r="Q344" s="41" t="s">
        <v>2862</v>
      </c>
      <c r="R344" s="50" t="s">
        <v>2863</v>
      </c>
      <c r="S344" s="38" t="s">
        <v>2864</v>
      </c>
      <c r="T344" s="38" t="s">
        <v>463</v>
      </c>
      <c r="U344" s="38" t="s">
        <v>2865</v>
      </c>
      <c r="V344" s="60">
        <v>43283</v>
      </c>
      <c r="W344" s="41" t="s">
        <v>2866</v>
      </c>
      <c r="X344" s="38">
        <v>1313</v>
      </c>
      <c r="Y344" s="38" t="s">
        <v>52</v>
      </c>
      <c r="Z344" s="38" t="s">
        <v>156</v>
      </c>
      <c r="AA344" s="38" t="s">
        <v>125</v>
      </c>
      <c r="AB344" s="38" t="s">
        <v>689</v>
      </c>
      <c r="AC344" s="45"/>
      <c r="AD344" s="7"/>
      <c r="AE344" s="7"/>
      <c r="AF344" s="46"/>
      <c r="AG344" s="47"/>
      <c r="AH344" s="46"/>
      <c r="AI344" s="46"/>
    </row>
    <row r="345" spans="1:35" x14ac:dyDescent="0.25">
      <c r="A345" s="48">
        <v>338</v>
      </c>
      <c r="B345" s="37" t="s">
        <v>2867</v>
      </c>
      <c r="C345" s="38" t="s">
        <v>548</v>
      </c>
      <c r="D345" s="39">
        <v>36540</v>
      </c>
      <c r="E345" s="38" t="s">
        <v>95</v>
      </c>
      <c r="F345" s="38" t="s">
        <v>48</v>
      </c>
      <c r="G345" s="38" t="s">
        <v>2868</v>
      </c>
      <c r="H345" s="38" t="s">
        <v>113</v>
      </c>
      <c r="I345" s="38" t="s">
        <v>114</v>
      </c>
      <c r="J345" s="41" t="s">
        <v>2869</v>
      </c>
      <c r="K345" s="41" t="s">
        <v>2870</v>
      </c>
      <c r="L345" s="41"/>
      <c r="M345" s="38" t="s">
        <v>99</v>
      </c>
      <c r="N345" s="43" t="s">
        <v>2871</v>
      </c>
      <c r="O345" s="43" t="s">
        <v>428</v>
      </c>
      <c r="P345" s="41" t="s">
        <v>2872</v>
      </c>
      <c r="Q345" s="41" t="s">
        <v>2873</v>
      </c>
      <c r="R345" s="50" t="s">
        <v>2874</v>
      </c>
      <c r="S345" s="38" t="s">
        <v>2875</v>
      </c>
      <c r="T345" s="38" t="s">
        <v>2693</v>
      </c>
      <c r="U345" s="38" t="s">
        <v>2876</v>
      </c>
      <c r="V345" s="60">
        <v>43285</v>
      </c>
      <c r="W345" s="41" t="s">
        <v>2877</v>
      </c>
      <c r="X345" s="38">
        <v>1314</v>
      </c>
      <c r="Y345" s="38" t="s">
        <v>52</v>
      </c>
      <c r="Z345" s="38" t="s">
        <v>172</v>
      </c>
      <c r="AA345" s="38" t="s">
        <v>125</v>
      </c>
      <c r="AB345" s="38" t="s">
        <v>931</v>
      </c>
      <c r="AC345" s="45"/>
      <c r="AD345" s="7"/>
      <c r="AE345" s="7"/>
      <c r="AF345" s="46" t="str">
        <f>IF(R345="","",RIGHT(R345,LEN(R345)-FIND("@",R345)))</f>
        <v>gmail.com</v>
      </c>
      <c r="AG345" s="47">
        <f>LEN(R345)-LEN(SUBSTITUTE(R345," ",""))</f>
        <v>0</v>
      </c>
      <c r="AH345" s="46" t="str">
        <f>SUBSTITUTE(R345," ","")</f>
        <v>dyah.putri1501@gmail.com</v>
      </c>
      <c r="AI345" s="46">
        <f>LEN(AH345)-LEN(SUBSTITUTE(AH345," ",""))</f>
        <v>0</v>
      </c>
    </row>
    <row r="346" spans="1:35" x14ac:dyDescent="0.25">
      <c r="A346" s="36">
        <v>339</v>
      </c>
      <c r="B346" s="53" t="s">
        <v>2878</v>
      </c>
      <c r="C346" s="54" t="s">
        <v>1065</v>
      </c>
      <c r="D346" s="55">
        <v>34554</v>
      </c>
      <c r="E346" s="54" t="s">
        <v>40</v>
      </c>
      <c r="F346" s="53"/>
      <c r="G346" s="54" t="s">
        <v>2879</v>
      </c>
      <c r="H346" s="54"/>
      <c r="I346" s="54"/>
      <c r="J346" s="54" t="s">
        <v>2880</v>
      </c>
      <c r="K346" s="54"/>
      <c r="L346" s="54"/>
      <c r="M346" s="54"/>
      <c r="N346" s="54"/>
      <c r="O346" s="54"/>
      <c r="P346" s="54"/>
      <c r="Q346" s="54" t="s">
        <v>2881</v>
      </c>
      <c r="R346" s="57" t="s">
        <v>74</v>
      </c>
      <c r="S346" s="54" t="s">
        <v>2882</v>
      </c>
      <c r="T346" s="54"/>
      <c r="U346" s="54"/>
      <c r="V346" s="55">
        <v>43286</v>
      </c>
      <c r="W346" s="54"/>
      <c r="X346" s="54"/>
      <c r="Y346" s="54" t="s">
        <v>85</v>
      </c>
      <c r="Z346" s="54"/>
      <c r="AA346" s="54"/>
      <c r="AB346" s="54"/>
      <c r="AC346" s="58">
        <v>43327</v>
      </c>
      <c r="AD346" s="7"/>
      <c r="AE346" s="7"/>
      <c r="AF346" s="46"/>
      <c r="AG346" s="47"/>
      <c r="AH346" s="46"/>
      <c r="AI346" s="46"/>
    </row>
    <row r="347" spans="1:35" x14ac:dyDescent="0.25">
      <c r="A347" s="36">
        <v>340</v>
      </c>
      <c r="B347" s="37" t="s">
        <v>2883</v>
      </c>
      <c r="C347" s="38" t="s">
        <v>1065</v>
      </c>
      <c r="D347" s="39">
        <v>35890</v>
      </c>
      <c r="E347" s="38" t="s">
        <v>40</v>
      </c>
      <c r="F347" s="38" t="s">
        <v>129</v>
      </c>
      <c r="G347" s="38" t="s">
        <v>2884</v>
      </c>
      <c r="H347" s="38" t="s">
        <v>113</v>
      </c>
      <c r="I347" s="38" t="s">
        <v>114</v>
      </c>
      <c r="J347" s="41" t="s">
        <v>2885</v>
      </c>
      <c r="K347" s="41" t="s">
        <v>2886</v>
      </c>
      <c r="L347" s="41"/>
      <c r="M347" s="38" t="s">
        <v>99</v>
      </c>
      <c r="N347" s="43" t="s">
        <v>48</v>
      </c>
      <c r="O347" s="43"/>
      <c r="P347" s="41" t="s">
        <v>2887</v>
      </c>
      <c r="Q347" s="41" t="s">
        <v>2888</v>
      </c>
      <c r="R347" s="50" t="s">
        <v>2889</v>
      </c>
      <c r="S347" s="38" t="s">
        <v>2890</v>
      </c>
      <c r="T347" s="38" t="s">
        <v>463</v>
      </c>
      <c r="U347" s="38" t="s">
        <v>2891</v>
      </c>
      <c r="V347" s="60">
        <v>43293</v>
      </c>
      <c r="W347" s="41" t="s">
        <v>2892</v>
      </c>
      <c r="X347" s="38">
        <v>1315</v>
      </c>
      <c r="Y347" s="38" t="s">
        <v>52</v>
      </c>
      <c r="Z347" s="38" t="s">
        <v>396</v>
      </c>
      <c r="AA347" s="38" t="s">
        <v>1389</v>
      </c>
      <c r="AB347" s="38" t="s">
        <v>55</v>
      </c>
      <c r="AC347" s="45"/>
      <c r="AD347" s="7"/>
      <c r="AE347" s="7"/>
      <c r="AF347" s="46" t="str">
        <f>IF(R347="","",RIGHT(R347,LEN(R347)-FIND("@",R347)))</f>
        <v>gmail.com</v>
      </c>
      <c r="AG347" s="47">
        <f>LEN(R347)-LEN(SUBSTITUTE(R347," ",""))</f>
        <v>0</v>
      </c>
      <c r="AH347" s="46" t="str">
        <f>SUBSTITUTE(R347," ","")</f>
        <v>raditya127@gmail.com</v>
      </c>
      <c r="AI347" s="46">
        <f>LEN(AH347)-LEN(SUBSTITUTE(AH347," ",""))</f>
        <v>0</v>
      </c>
    </row>
    <row r="348" spans="1:35" x14ac:dyDescent="0.25">
      <c r="A348" s="36">
        <v>341</v>
      </c>
      <c r="B348" s="53" t="s">
        <v>2893</v>
      </c>
      <c r="C348" s="54" t="s">
        <v>94</v>
      </c>
      <c r="D348" s="55">
        <v>35732</v>
      </c>
      <c r="E348" s="54" t="s">
        <v>95</v>
      </c>
      <c r="F348" s="53"/>
      <c r="G348" s="54" t="s">
        <v>2894</v>
      </c>
      <c r="H348" s="54"/>
      <c r="I348" s="54"/>
      <c r="J348" s="54" t="s">
        <v>2895</v>
      </c>
      <c r="K348" s="54"/>
      <c r="L348" s="54"/>
      <c r="M348" s="54" t="s">
        <v>99</v>
      </c>
      <c r="N348" s="54"/>
      <c r="O348" s="54"/>
      <c r="P348" s="54"/>
      <c r="Q348" s="54" t="s">
        <v>2896</v>
      </c>
      <c r="R348" s="57" t="s">
        <v>74</v>
      </c>
      <c r="S348" s="54" t="s">
        <v>2897</v>
      </c>
      <c r="T348" s="54"/>
      <c r="U348" s="54"/>
      <c r="V348" s="55">
        <v>43293</v>
      </c>
      <c r="W348" s="54"/>
      <c r="X348" s="54"/>
      <c r="Y348" s="54" t="s">
        <v>85</v>
      </c>
      <c r="Z348" s="54"/>
      <c r="AA348" s="54"/>
      <c r="AB348" s="54"/>
      <c r="AC348" s="58">
        <v>43313</v>
      </c>
      <c r="AD348" s="7"/>
      <c r="AE348" s="7"/>
      <c r="AF348" s="46"/>
      <c r="AG348" s="47"/>
      <c r="AH348" s="46"/>
      <c r="AI348" s="46"/>
    </row>
    <row r="349" spans="1:35" x14ac:dyDescent="0.25">
      <c r="A349" s="36">
        <v>342</v>
      </c>
      <c r="B349" s="53" t="s">
        <v>2898</v>
      </c>
      <c r="C349" s="54" t="s">
        <v>2899</v>
      </c>
      <c r="D349" s="55">
        <v>35767</v>
      </c>
      <c r="E349" s="54" t="s">
        <v>40</v>
      </c>
      <c r="F349" s="53"/>
      <c r="G349" s="54" t="s">
        <v>2900</v>
      </c>
      <c r="H349" s="54"/>
      <c r="I349" s="54"/>
      <c r="J349" s="54" t="s">
        <v>2901</v>
      </c>
      <c r="K349" s="54"/>
      <c r="L349" s="54"/>
      <c r="M349" s="54"/>
      <c r="N349" s="54"/>
      <c r="O349" s="54"/>
      <c r="P349" s="54"/>
      <c r="Q349" s="54" t="s">
        <v>2902</v>
      </c>
      <c r="R349" s="57" t="s">
        <v>74</v>
      </c>
      <c r="S349" s="54" t="s">
        <v>2903</v>
      </c>
      <c r="T349" s="54"/>
      <c r="U349" s="54" t="s">
        <v>2904</v>
      </c>
      <c r="V349" s="55">
        <v>43295</v>
      </c>
      <c r="W349" s="54"/>
      <c r="X349" s="54"/>
      <c r="Y349" s="54" t="s">
        <v>85</v>
      </c>
      <c r="Z349" s="54"/>
      <c r="AA349" s="54"/>
      <c r="AB349" s="54"/>
      <c r="AC349" s="58">
        <v>43374</v>
      </c>
      <c r="AD349" s="7"/>
      <c r="AE349" s="7"/>
      <c r="AF349" s="46"/>
      <c r="AG349" s="47"/>
      <c r="AH349" s="46"/>
      <c r="AI349" s="46"/>
    </row>
    <row r="350" spans="1:35" x14ac:dyDescent="0.25">
      <c r="A350" s="36">
        <v>343</v>
      </c>
      <c r="B350" s="53" t="s">
        <v>2905</v>
      </c>
      <c r="C350" s="54" t="s">
        <v>1065</v>
      </c>
      <c r="D350" s="55">
        <v>34805</v>
      </c>
      <c r="E350" s="54" t="s">
        <v>95</v>
      </c>
      <c r="F350" s="54" t="s">
        <v>129</v>
      </c>
      <c r="G350" s="54" t="s">
        <v>2906</v>
      </c>
      <c r="H350" s="54" t="s">
        <v>72</v>
      </c>
      <c r="I350" s="54" t="s">
        <v>114</v>
      </c>
      <c r="J350" s="66" t="s">
        <v>2907</v>
      </c>
      <c r="K350" s="66" t="s">
        <v>2908</v>
      </c>
      <c r="L350" s="68"/>
      <c r="M350" s="54" t="s">
        <v>99</v>
      </c>
      <c r="N350" s="68" t="s">
        <v>48</v>
      </c>
      <c r="O350" s="68"/>
      <c r="P350" s="66" t="s">
        <v>2909</v>
      </c>
      <c r="Q350" s="68" t="s">
        <v>2910</v>
      </c>
      <c r="R350" s="57" t="s">
        <v>2911</v>
      </c>
      <c r="S350" s="54" t="s">
        <v>2912</v>
      </c>
      <c r="T350" s="54" t="s">
        <v>2913</v>
      </c>
      <c r="U350" s="69" t="s">
        <v>2914</v>
      </c>
      <c r="V350" s="72">
        <v>43297</v>
      </c>
      <c r="W350" s="66" t="s">
        <v>2915</v>
      </c>
      <c r="X350" s="54">
        <v>1318</v>
      </c>
      <c r="Y350" s="54" t="s">
        <v>85</v>
      </c>
      <c r="Z350" s="54" t="s">
        <v>172</v>
      </c>
      <c r="AA350" s="54" t="s">
        <v>125</v>
      </c>
      <c r="AB350" s="54" t="s">
        <v>173</v>
      </c>
      <c r="AC350" s="58">
        <v>44013</v>
      </c>
      <c r="AD350" s="7"/>
      <c r="AE350" s="7"/>
      <c r="AF350" s="46"/>
      <c r="AG350" s="47"/>
      <c r="AH350" s="46"/>
      <c r="AI350" s="46"/>
    </row>
    <row r="351" spans="1:35" x14ac:dyDescent="0.25">
      <c r="A351" s="48">
        <v>344</v>
      </c>
      <c r="B351" s="53" t="s">
        <v>2916</v>
      </c>
      <c r="C351" s="54" t="s">
        <v>2130</v>
      </c>
      <c r="D351" s="55">
        <v>36053</v>
      </c>
      <c r="E351" s="54" t="s">
        <v>40</v>
      </c>
      <c r="F351" s="53"/>
      <c r="G351" s="54" t="s">
        <v>2917</v>
      </c>
      <c r="H351" s="54"/>
      <c r="I351" s="54"/>
      <c r="J351" s="54" t="s">
        <v>2918</v>
      </c>
      <c r="K351" s="54"/>
      <c r="L351" s="54"/>
      <c r="M351" s="54"/>
      <c r="N351" s="54"/>
      <c r="O351" s="54"/>
      <c r="P351" s="54"/>
      <c r="Q351" s="54" t="s">
        <v>2919</v>
      </c>
      <c r="R351" s="57" t="s">
        <v>74</v>
      </c>
      <c r="S351" s="54" t="s">
        <v>2920</v>
      </c>
      <c r="T351" s="54"/>
      <c r="U351" s="54" t="s">
        <v>2921</v>
      </c>
      <c r="V351" s="55">
        <v>43299</v>
      </c>
      <c r="W351" s="54"/>
      <c r="X351" s="54"/>
      <c r="Y351" s="54" t="s">
        <v>85</v>
      </c>
      <c r="Z351" s="54"/>
      <c r="AA351" s="54"/>
      <c r="AB351" s="54"/>
      <c r="AC351" s="58">
        <v>43344</v>
      </c>
      <c r="AD351" s="7"/>
      <c r="AE351" s="7"/>
      <c r="AF351" s="46" t="s">
        <v>1</v>
      </c>
      <c r="AG351" s="47"/>
      <c r="AH351" s="46"/>
      <c r="AI351" s="46"/>
    </row>
    <row r="352" spans="1:35" x14ac:dyDescent="0.25">
      <c r="A352" s="36">
        <v>345</v>
      </c>
      <c r="B352" s="53" t="s">
        <v>2922</v>
      </c>
      <c r="C352" s="54" t="s">
        <v>2923</v>
      </c>
      <c r="D352" s="55">
        <v>34868</v>
      </c>
      <c r="E352" s="54" t="s">
        <v>40</v>
      </c>
      <c r="F352" s="53"/>
      <c r="G352" s="54" t="s">
        <v>2924</v>
      </c>
      <c r="H352" s="54"/>
      <c r="I352" s="54"/>
      <c r="J352" s="54" t="s">
        <v>2925</v>
      </c>
      <c r="K352" s="54"/>
      <c r="L352" s="54"/>
      <c r="M352" s="54"/>
      <c r="N352" s="54"/>
      <c r="O352" s="54"/>
      <c r="P352" s="54"/>
      <c r="Q352" s="54" t="s">
        <v>2926</v>
      </c>
      <c r="R352" s="57" t="s">
        <v>74</v>
      </c>
      <c r="S352" s="54" t="s">
        <v>2927</v>
      </c>
      <c r="T352" s="54"/>
      <c r="U352" s="54" t="s">
        <v>2928</v>
      </c>
      <c r="V352" s="55">
        <v>43301</v>
      </c>
      <c r="W352" s="54"/>
      <c r="X352" s="54"/>
      <c r="Y352" s="54" t="s">
        <v>85</v>
      </c>
      <c r="Z352" s="54"/>
      <c r="AA352" s="54"/>
      <c r="AB352" s="54"/>
      <c r="AC352" s="58">
        <v>43344</v>
      </c>
      <c r="AD352" s="7"/>
      <c r="AE352" s="7"/>
      <c r="AF352" s="46" t="str">
        <f>IF(R352="","",RIGHT(R352,LEN(R352)-FIND("@",R352)))</f>
        <v/>
      </c>
      <c r="AG352" s="47">
        <f>LEN(R352)-LEN(SUBSTITUTE(R352," ",""))</f>
        <v>0</v>
      </c>
      <c r="AH352" s="46" t="str">
        <f>SUBSTITUTE(R352," ","")</f>
        <v/>
      </c>
      <c r="AI352" s="46">
        <f>LEN(AH352)-LEN(SUBSTITUTE(AH352," ",""))</f>
        <v>0</v>
      </c>
    </row>
    <row r="353" spans="1:35" x14ac:dyDescent="0.25">
      <c r="A353" s="36">
        <v>346</v>
      </c>
      <c r="B353" s="53" t="s">
        <v>2929</v>
      </c>
      <c r="C353" s="54" t="s">
        <v>94</v>
      </c>
      <c r="D353" s="55">
        <v>34773</v>
      </c>
      <c r="E353" s="54" t="s">
        <v>40</v>
      </c>
      <c r="F353" s="53"/>
      <c r="G353" s="54" t="s">
        <v>2930</v>
      </c>
      <c r="H353" s="54"/>
      <c r="I353" s="54"/>
      <c r="J353" s="54" t="s">
        <v>2931</v>
      </c>
      <c r="K353" s="54"/>
      <c r="L353" s="54"/>
      <c r="M353" s="54"/>
      <c r="N353" s="54"/>
      <c r="O353" s="54"/>
      <c r="P353" s="54"/>
      <c r="Q353" s="54" t="s">
        <v>2932</v>
      </c>
      <c r="R353" s="57" t="s">
        <v>74</v>
      </c>
      <c r="S353" s="54" t="s">
        <v>2933</v>
      </c>
      <c r="T353" s="54"/>
      <c r="U353" s="54" t="s">
        <v>2934</v>
      </c>
      <c r="V353" s="55">
        <v>43304</v>
      </c>
      <c r="W353" s="54"/>
      <c r="X353" s="54"/>
      <c r="Y353" s="54" t="s">
        <v>85</v>
      </c>
      <c r="Z353" s="54"/>
      <c r="AA353" s="54"/>
      <c r="AB353" s="54"/>
      <c r="AC353" s="58">
        <v>43388</v>
      </c>
      <c r="AD353" s="7"/>
      <c r="AE353" s="7"/>
      <c r="AF353" s="46"/>
      <c r="AG353" s="47"/>
      <c r="AH353" s="46"/>
      <c r="AI353" s="46"/>
    </row>
    <row r="354" spans="1:35" x14ac:dyDescent="0.25">
      <c r="A354" s="36">
        <v>347</v>
      </c>
      <c r="B354" s="37" t="s">
        <v>2935</v>
      </c>
      <c r="C354" s="38" t="s">
        <v>2936</v>
      </c>
      <c r="D354" s="39">
        <v>28910</v>
      </c>
      <c r="E354" s="38" t="s">
        <v>40</v>
      </c>
      <c r="F354" s="38" t="s">
        <v>129</v>
      </c>
      <c r="G354" s="38" t="s">
        <v>2937</v>
      </c>
      <c r="H354" s="38" t="s">
        <v>2152</v>
      </c>
      <c r="I354" s="38" t="s">
        <v>44</v>
      </c>
      <c r="J354" s="40" t="s">
        <v>2938</v>
      </c>
      <c r="K354" s="40" t="s">
        <v>2939</v>
      </c>
      <c r="L354" s="43"/>
      <c r="M354" s="38"/>
      <c r="N354" s="43" t="s">
        <v>2940</v>
      </c>
      <c r="O354" s="43" t="s">
        <v>76</v>
      </c>
      <c r="P354" s="38" t="s">
        <v>2941</v>
      </c>
      <c r="Q354" s="43" t="s">
        <v>74</v>
      </c>
      <c r="R354" s="50" t="s">
        <v>2942</v>
      </c>
      <c r="S354" s="38" t="s">
        <v>2943</v>
      </c>
      <c r="T354" s="38"/>
      <c r="U354" s="38"/>
      <c r="V354" s="60">
        <v>43313</v>
      </c>
      <c r="W354" s="65" t="s">
        <v>2944</v>
      </c>
      <c r="X354" s="38">
        <v>1322</v>
      </c>
      <c r="Y354" s="38" t="s">
        <v>52</v>
      </c>
      <c r="Z354" s="38" t="s">
        <v>108</v>
      </c>
      <c r="AA354" s="38" t="s">
        <v>125</v>
      </c>
      <c r="AB354" s="38" t="s">
        <v>157</v>
      </c>
      <c r="AC354" s="45"/>
      <c r="AD354" s="7"/>
      <c r="AE354" s="7"/>
      <c r="AF354" s="46" t="str">
        <f>IF(R354="","",RIGHT(R354,LEN(R354)-FIND("@",R354)))</f>
        <v>gmail.com</v>
      </c>
      <c r="AG354" s="47">
        <f>LEN(R354)-LEN(SUBSTITUTE(R354," ",""))</f>
        <v>0</v>
      </c>
      <c r="AH354" s="46" t="str">
        <f>SUBSTITUTE(R354," ","")</f>
        <v>awaludinjordan@gmail.com</v>
      </c>
      <c r="AI354" s="46">
        <f>LEN(AH354)-LEN(SUBSTITUTE(AH354," ",""))</f>
        <v>0</v>
      </c>
    </row>
    <row r="355" spans="1:35" x14ac:dyDescent="0.25">
      <c r="A355" s="36">
        <v>348</v>
      </c>
      <c r="B355" s="53" t="s">
        <v>2945</v>
      </c>
      <c r="C355" s="54" t="s">
        <v>1065</v>
      </c>
      <c r="D355" s="55">
        <v>35019</v>
      </c>
      <c r="E355" s="54" t="s">
        <v>95</v>
      </c>
      <c r="F355" s="53"/>
      <c r="G355" s="54" t="s">
        <v>2946</v>
      </c>
      <c r="H355" s="54"/>
      <c r="I355" s="54"/>
      <c r="J355" s="54" t="s">
        <v>2947</v>
      </c>
      <c r="K355" s="54"/>
      <c r="L355" s="54"/>
      <c r="M355" s="54" t="s">
        <v>99</v>
      </c>
      <c r="N355" s="54"/>
      <c r="O355" s="54"/>
      <c r="P355" s="54"/>
      <c r="Q355" s="54" t="s">
        <v>2948</v>
      </c>
      <c r="R355" s="57" t="s">
        <v>74</v>
      </c>
      <c r="S355" s="54" t="s">
        <v>2949</v>
      </c>
      <c r="T355" s="54"/>
      <c r="U355" s="54" t="s">
        <v>2950</v>
      </c>
      <c r="V355" s="55">
        <v>43325</v>
      </c>
      <c r="W355" s="54"/>
      <c r="X355" s="54"/>
      <c r="Y355" s="54" t="s">
        <v>85</v>
      </c>
      <c r="Z355" s="54"/>
      <c r="AA355" s="54"/>
      <c r="AB355" s="54"/>
      <c r="AC355" s="58">
        <v>43497</v>
      </c>
      <c r="AD355" s="7"/>
      <c r="AE355" s="7"/>
      <c r="AF355" s="46"/>
      <c r="AG355" s="47"/>
      <c r="AH355" s="46"/>
      <c r="AI355" s="46"/>
    </row>
    <row r="356" spans="1:35" x14ac:dyDescent="0.25">
      <c r="A356" s="36">
        <v>349</v>
      </c>
      <c r="B356" s="53" t="s">
        <v>2951</v>
      </c>
      <c r="C356" s="54" t="s">
        <v>1377</v>
      </c>
      <c r="D356" s="55">
        <v>36152</v>
      </c>
      <c r="E356" s="54" t="s">
        <v>95</v>
      </c>
      <c r="F356" s="53"/>
      <c r="G356" s="54" t="s">
        <v>2952</v>
      </c>
      <c r="H356" s="54"/>
      <c r="I356" s="54"/>
      <c r="J356" s="54" t="s">
        <v>2953</v>
      </c>
      <c r="K356" s="54"/>
      <c r="L356" s="54"/>
      <c r="M356" s="54" t="s">
        <v>99</v>
      </c>
      <c r="N356" s="54"/>
      <c r="O356" s="54"/>
      <c r="P356" s="54"/>
      <c r="Q356" s="54" t="s">
        <v>2954</v>
      </c>
      <c r="R356" s="57" t="s">
        <v>74</v>
      </c>
      <c r="S356" s="54" t="s">
        <v>2955</v>
      </c>
      <c r="T356" s="54"/>
      <c r="U356" s="54" t="s">
        <v>2956</v>
      </c>
      <c r="V356" s="55">
        <v>43340</v>
      </c>
      <c r="W356" s="54"/>
      <c r="X356" s="54"/>
      <c r="Y356" s="54" t="s">
        <v>85</v>
      </c>
      <c r="Z356" s="54"/>
      <c r="AA356" s="54"/>
      <c r="AB356" s="54"/>
      <c r="AC356" s="58">
        <v>43356</v>
      </c>
      <c r="AD356" s="7"/>
      <c r="AE356" s="7"/>
      <c r="AF356" s="46"/>
      <c r="AG356" s="47"/>
      <c r="AH356" s="46"/>
      <c r="AI356" s="46"/>
    </row>
    <row r="357" spans="1:35" x14ac:dyDescent="0.25">
      <c r="A357" s="48">
        <v>350</v>
      </c>
      <c r="B357" s="37" t="s">
        <v>2957</v>
      </c>
      <c r="C357" s="38" t="s">
        <v>976</v>
      </c>
      <c r="D357" s="39">
        <v>36552</v>
      </c>
      <c r="E357" s="38" t="s">
        <v>95</v>
      </c>
      <c r="F357" s="40" t="s">
        <v>48</v>
      </c>
      <c r="G357" s="38" t="s">
        <v>2958</v>
      </c>
      <c r="H357" s="38" t="s">
        <v>72</v>
      </c>
      <c r="I357" s="38" t="s">
        <v>114</v>
      </c>
      <c r="J357" s="41" t="s">
        <v>2959</v>
      </c>
      <c r="K357" s="41" t="s">
        <v>2960</v>
      </c>
      <c r="L357" s="41"/>
      <c r="M357" s="38" t="s">
        <v>99</v>
      </c>
      <c r="N357" s="43" t="s">
        <v>2961</v>
      </c>
      <c r="O357" s="43" t="s">
        <v>147</v>
      </c>
      <c r="P357" s="41" t="s">
        <v>118</v>
      </c>
      <c r="Q357" s="41" t="s">
        <v>119</v>
      </c>
      <c r="R357" s="50" t="s">
        <v>2962</v>
      </c>
      <c r="S357" s="38" t="s">
        <v>2963</v>
      </c>
      <c r="T357" s="38" t="s">
        <v>122</v>
      </c>
      <c r="U357" s="38">
        <v>81916570447</v>
      </c>
      <c r="V357" s="60">
        <v>43348</v>
      </c>
      <c r="W357" s="41" t="s">
        <v>2964</v>
      </c>
      <c r="X357" s="38">
        <v>1325</v>
      </c>
      <c r="Y357" s="38" t="s">
        <v>52</v>
      </c>
      <c r="Z357" s="38" t="s">
        <v>172</v>
      </c>
      <c r="AA357" s="38" t="s">
        <v>125</v>
      </c>
      <c r="AB357" s="38" t="s">
        <v>566</v>
      </c>
      <c r="AC357" s="45"/>
      <c r="AD357" s="7"/>
      <c r="AE357" s="7"/>
      <c r="AF357" s="46" t="str">
        <f>IF(R357="","",RIGHT(R357,LEN(R357)-FIND("@",R357)))</f>
        <v>gmail.com</v>
      </c>
      <c r="AG357" s="47">
        <f>LEN(R357)-LEN(SUBSTITUTE(R357," ",""))</f>
        <v>0</v>
      </c>
      <c r="AH357" s="46" t="str">
        <f>SUBSTITUTE(R357," ","")</f>
        <v>ayu04801@gmail.com</v>
      </c>
      <c r="AI357" s="46">
        <f>LEN(AH357)-LEN(SUBSTITUTE(AH357," ",""))</f>
        <v>0</v>
      </c>
    </row>
    <row r="358" spans="1:35" x14ac:dyDescent="0.25">
      <c r="A358" s="36">
        <v>351</v>
      </c>
      <c r="B358" s="53" t="s">
        <v>2965</v>
      </c>
      <c r="C358" s="54" t="s">
        <v>2966</v>
      </c>
      <c r="D358" s="55">
        <v>35877</v>
      </c>
      <c r="E358" s="54" t="s">
        <v>40</v>
      </c>
      <c r="F358" s="53"/>
      <c r="G358" s="54" t="s">
        <v>2967</v>
      </c>
      <c r="H358" s="54"/>
      <c r="I358" s="54"/>
      <c r="J358" s="54" t="s">
        <v>2968</v>
      </c>
      <c r="K358" s="54"/>
      <c r="L358" s="54"/>
      <c r="M358" s="54"/>
      <c r="N358" s="54"/>
      <c r="O358" s="54"/>
      <c r="P358" s="54"/>
      <c r="Q358" s="54" t="s">
        <v>2969</v>
      </c>
      <c r="R358" s="57" t="s">
        <v>74</v>
      </c>
      <c r="S358" s="54" t="s">
        <v>2970</v>
      </c>
      <c r="T358" s="54"/>
      <c r="U358" s="54" t="s">
        <v>2971</v>
      </c>
      <c r="V358" s="55">
        <v>43349</v>
      </c>
      <c r="W358" s="54"/>
      <c r="X358" s="54"/>
      <c r="Y358" s="54" t="s">
        <v>85</v>
      </c>
      <c r="Z358" s="54"/>
      <c r="AA358" s="54"/>
      <c r="AB358" s="54"/>
      <c r="AC358" s="58">
        <v>43404</v>
      </c>
      <c r="AD358" s="7"/>
      <c r="AE358" s="7"/>
      <c r="AF358" s="46"/>
      <c r="AG358" s="47"/>
      <c r="AH358" s="46"/>
      <c r="AI358" s="46"/>
    </row>
    <row r="359" spans="1:35" x14ac:dyDescent="0.25">
      <c r="A359" s="36">
        <v>352</v>
      </c>
      <c r="B359" s="53" t="s">
        <v>2972</v>
      </c>
      <c r="C359" s="54" t="s">
        <v>2973</v>
      </c>
      <c r="D359" s="55">
        <v>33794</v>
      </c>
      <c r="E359" s="54" t="s">
        <v>95</v>
      </c>
      <c r="F359" s="53"/>
      <c r="G359" s="54" t="s">
        <v>2974</v>
      </c>
      <c r="H359" s="54"/>
      <c r="I359" s="54"/>
      <c r="J359" s="54" t="s">
        <v>2975</v>
      </c>
      <c r="K359" s="54"/>
      <c r="L359" s="54"/>
      <c r="M359" s="54" t="s">
        <v>99</v>
      </c>
      <c r="N359" s="54"/>
      <c r="O359" s="54"/>
      <c r="P359" s="54"/>
      <c r="Q359" s="54" t="s">
        <v>2976</v>
      </c>
      <c r="R359" s="57" t="s">
        <v>74</v>
      </c>
      <c r="S359" s="54" t="s">
        <v>2977</v>
      </c>
      <c r="T359" s="54"/>
      <c r="U359" s="54" t="s">
        <v>2978</v>
      </c>
      <c r="V359" s="55">
        <v>43349</v>
      </c>
      <c r="W359" s="54"/>
      <c r="X359" s="54"/>
      <c r="Y359" s="54" t="s">
        <v>85</v>
      </c>
      <c r="Z359" s="54"/>
      <c r="AA359" s="54"/>
      <c r="AB359" s="54"/>
      <c r="AC359" s="58">
        <v>43465</v>
      </c>
      <c r="AD359" s="7"/>
      <c r="AE359" s="7"/>
      <c r="AF359" s="46"/>
      <c r="AG359" s="47"/>
      <c r="AH359" s="46"/>
      <c r="AI359" s="46"/>
    </row>
    <row r="360" spans="1:35" x14ac:dyDescent="0.25">
      <c r="A360" s="36">
        <v>353</v>
      </c>
      <c r="B360" s="37" t="s">
        <v>2979</v>
      </c>
      <c r="C360" s="38" t="s">
        <v>1377</v>
      </c>
      <c r="D360" s="39">
        <v>36720</v>
      </c>
      <c r="E360" s="38" t="s">
        <v>95</v>
      </c>
      <c r="F360" s="38" t="s">
        <v>48</v>
      </c>
      <c r="G360" s="38" t="s">
        <v>2980</v>
      </c>
      <c r="H360" s="38" t="s">
        <v>113</v>
      </c>
      <c r="I360" s="38" t="s">
        <v>114</v>
      </c>
      <c r="J360" s="41" t="s">
        <v>2981</v>
      </c>
      <c r="K360" s="41" t="s">
        <v>2982</v>
      </c>
      <c r="L360" s="41"/>
      <c r="M360" s="38" t="s">
        <v>99</v>
      </c>
      <c r="N360" s="41" t="s">
        <v>2983</v>
      </c>
      <c r="O360" s="41" t="s">
        <v>76</v>
      </c>
      <c r="P360" s="41" t="s">
        <v>2984</v>
      </c>
      <c r="Q360" s="41" t="s">
        <v>2985</v>
      </c>
      <c r="R360" s="50" t="s">
        <v>2986</v>
      </c>
      <c r="S360" s="38" t="s">
        <v>2987</v>
      </c>
      <c r="T360" s="38" t="s">
        <v>613</v>
      </c>
      <c r="U360" s="38">
        <v>81936363779</v>
      </c>
      <c r="V360" s="60">
        <v>43358</v>
      </c>
      <c r="W360" s="41" t="s">
        <v>2988</v>
      </c>
      <c r="X360" s="38">
        <v>1329</v>
      </c>
      <c r="Y360" s="38" t="s">
        <v>52</v>
      </c>
      <c r="Z360" s="38" t="s">
        <v>172</v>
      </c>
      <c r="AA360" s="38" t="s">
        <v>125</v>
      </c>
      <c r="AB360" s="38" t="s">
        <v>2164</v>
      </c>
      <c r="AC360" s="45"/>
      <c r="AD360" s="7"/>
      <c r="AE360" s="7"/>
      <c r="AF360" s="46" t="str">
        <f>IF(R360="","",RIGHT(R360,LEN(R360)-FIND("@",R360)))</f>
        <v>gmail.com</v>
      </c>
      <c r="AG360" s="47">
        <f>LEN(R360)-LEN(SUBSTITUTE(R360," ",""))</f>
        <v>0</v>
      </c>
      <c r="AH360" s="46" t="str">
        <f>SUBSTITUTE(R360," ","")</f>
        <v>intanfania13@gmail.com</v>
      </c>
      <c r="AI360" s="46">
        <f>LEN(AH360)-LEN(SUBSTITUTE(AH360," ",""))</f>
        <v>0</v>
      </c>
    </row>
    <row r="361" spans="1:35" x14ac:dyDescent="0.25">
      <c r="A361" s="36">
        <v>354</v>
      </c>
      <c r="B361" s="37" t="s">
        <v>2989</v>
      </c>
      <c r="C361" s="38" t="s">
        <v>2990</v>
      </c>
      <c r="D361" s="39">
        <v>34779</v>
      </c>
      <c r="E361" s="38" t="s">
        <v>40</v>
      </c>
      <c r="F361" s="40" t="s">
        <v>48</v>
      </c>
      <c r="G361" s="38" t="s">
        <v>2991</v>
      </c>
      <c r="H361" s="38" t="s">
        <v>510</v>
      </c>
      <c r="I361" s="38" t="s">
        <v>44</v>
      </c>
      <c r="J361" s="41" t="s">
        <v>2992</v>
      </c>
      <c r="K361" s="41" t="s">
        <v>2993</v>
      </c>
      <c r="L361" s="43"/>
      <c r="M361" s="38" t="s">
        <v>133</v>
      </c>
      <c r="N361" s="43" t="s">
        <v>2994</v>
      </c>
      <c r="O361" s="41" t="s">
        <v>76</v>
      </c>
      <c r="P361" s="41" t="s">
        <v>2995</v>
      </c>
      <c r="Q361" s="41" t="s">
        <v>2996</v>
      </c>
      <c r="R361" s="50" t="s">
        <v>2997</v>
      </c>
      <c r="S361" s="38" t="s">
        <v>2998</v>
      </c>
      <c r="T361" s="38" t="s">
        <v>152</v>
      </c>
      <c r="U361" s="38" t="s">
        <v>2999</v>
      </c>
      <c r="V361" s="60">
        <v>43363</v>
      </c>
      <c r="W361" s="41" t="s">
        <v>3000</v>
      </c>
      <c r="X361" s="38">
        <v>1330</v>
      </c>
      <c r="Y361" s="38" t="s">
        <v>52</v>
      </c>
      <c r="Z361" s="38" t="s">
        <v>1816</v>
      </c>
      <c r="AA361" s="38" t="s">
        <v>777</v>
      </c>
      <c r="AB361" s="38" t="s">
        <v>778</v>
      </c>
      <c r="AC361" s="45"/>
      <c r="AD361" s="7"/>
      <c r="AE361" s="7"/>
      <c r="AF361" s="46" t="str">
        <f>IF(R361="","",RIGHT(R361,LEN(R361)-FIND("@",R361)))</f>
        <v>gmail.com</v>
      </c>
      <c r="AG361" s="47">
        <f>LEN(R361)-LEN(SUBSTITUTE(R361," ",""))</f>
        <v>0</v>
      </c>
      <c r="AH361" s="46" t="str">
        <f>SUBSTITUTE(R361," ","")</f>
        <v>pegrahonoraymundus@gmail.com</v>
      </c>
      <c r="AI361" s="46">
        <f>LEN(AH361)-LEN(SUBSTITUTE(AH361," ",""))</f>
        <v>0</v>
      </c>
    </row>
    <row r="362" spans="1:35" x14ac:dyDescent="0.25">
      <c r="A362" s="36">
        <v>355</v>
      </c>
      <c r="B362" s="37" t="s">
        <v>3001</v>
      </c>
      <c r="C362" s="38" t="s">
        <v>94</v>
      </c>
      <c r="D362" s="39">
        <v>35111</v>
      </c>
      <c r="E362" s="38" t="s">
        <v>40</v>
      </c>
      <c r="F362" s="38" t="s">
        <v>41</v>
      </c>
      <c r="G362" s="38" t="s">
        <v>3002</v>
      </c>
      <c r="H362" s="38" t="s">
        <v>113</v>
      </c>
      <c r="I362" s="38" t="s">
        <v>114</v>
      </c>
      <c r="J362" s="43" t="s">
        <v>3003</v>
      </c>
      <c r="K362" s="41" t="s">
        <v>3004</v>
      </c>
      <c r="L362" s="43"/>
      <c r="M362" s="38" t="s">
        <v>99</v>
      </c>
      <c r="N362" s="43" t="s">
        <v>3005</v>
      </c>
      <c r="O362" s="43" t="s">
        <v>76</v>
      </c>
      <c r="P362" s="41" t="s">
        <v>3006</v>
      </c>
      <c r="Q362" s="43" t="s">
        <v>3007</v>
      </c>
      <c r="R362" s="50" t="s">
        <v>3008</v>
      </c>
      <c r="S362" s="38" t="s">
        <v>3009</v>
      </c>
      <c r="T362" s="38" t="s">
        <v>613</v>
      </c>
      <c r="U362" s="38" t="s">
        <v>3010</v>
      </c>
      <c r="V362" s="60">
        <v>43363</v>
      </c>
      <c r="W362" s="41" t="s">
        <v>3011</v>
      </c>
      <c r="X362" s="38">
        <v>1331</v>
      </c>
      <c r="Y362" s="38" t="s">
        <v>52</v>
      </c>
      <c r="Z362" s="38" t="s">
        <v>156</v>
      </c>
      <c r="AA362" s="38" t="s">
        <v>125</v>
      </c>
      <c r="AB362" s="38" t="s">
        <v>282</v>
      </c>
      <c r="AC362" s="45"/>
      <c r="AD362" s="7"/>
      <c r="AE362" s="7"/>
      <c r="AF362" s="46"/>
      <c r="AG362" s="47"/>
      <c r="AH362" s="46"/>
      <c r="AI362" s="46"/>
    </row>
    <row r="363" spans="1:35" x14ac:dyDescent="0.25">
      <c r="A363" s="48">
        <v>356</v>
      </c>
      <c r="B363" s="37" t="s">
        <v>3012</v>
      </c>
      <c r="C363" s="38" t="s">
        <v>3013</v>
      </c>
      <c r="D363" s="39">
        <v>34190</v>
      </c>
      <c r="E363" s="38" t="s">
        <v>40</v>
      </c>
      <c r="F363" s="40" t="s">
        <v>48</v>
      </c>
      <c r="G363" s="38" t="s">
        <v>3014</v>
      </c>
      <c r="H363" s="38" t="s">
        <v>43</v>
      </c>
      <c r="I363" s="38" t="s">
        <v>114</v>
      </c>
      <c r="J363" s="41" t="s">
        <v>3015</v>
      </c>
      <c r="K363" s="41" t="s">
        <v>3016</v>
      </c>
      <c r="L363" s="43"/>
      <c r="M363" s="38" t="s">
        <v>99</v>
      </c>
      <c r="N363" s="43" t="s">
        <v>3017</v>
      </c>
      <c r="O363" s="43" t="s">
        <v>147</v>
      </c>
      <c r="P363" s="41" t="s">
        <v>3018</v>
      </c>
      <c r="Q363" s="43" t="s">
        <v>3019</v>
      </c>
      <c r="R363" s="50" t="s">
        <v>3020</v>
      </c>
      <c r="S363" s="38" t="s">
        <v>3021</v>
      </c>
      <c r="T363" s="38" t="s">
        <v>3022</v>
      </c>
      <c r="U363" s="38">
        <v>82363514775</v>
      </c>
      <c r="V363" s="60">
        <v>43370</v>
      </c>
      <c r="W363" s="41" t="s">
        <v>3023</v>
      </c>
      <c r="X363" s="38">
        <v>1333</v>
      </c>
      <c r="Y363" s="38" t="s">
        <v>52</v>
      </c>
      <c r="Z363" s="38" t="s">
        <v>156</v>
      </c>
      <c r="AA363" s="38" t="s">
        <v>125</v>
      </c>
      <c r="AB363" s="38" t="s">
        <v>341</v>
      </c>
      <c r="AC363" s="45"/>
      <c r="AD363" s="7"/>
      <c r="AE363" s="7"/>
      <c r="AF363" s="46" t="str">
        <f>IF(R363="","",RIGHT(R363,LEN(R363)-FIND("@",R363)))</f>
        <v>gmail.com</v>
      </c>
      <c r="AG363" s="47">
        <f>LEN(R363)-LEN(SUBSTITUTE(R363," ",""))</f>
        <v>0</v>
      </c>
      <c r="AH363" s="46" t="str">
        <f>SUBSTITUTE(R363," ","")</f>
        <v>redarharefa1993@gmail.com</v>
      </c>
      <c r="AI363" s="46">
        <f>LEN(AH363)-LEN(SUBSTITUTE(AH363," ",""))</f>
        <v>0</v>
      </c>
    </row>
    <row r="364" spans="1:35" x14ac:dyDescent="0.25">
      <c r="A364" s="36">
        <v>357</v>
      </c>
      <c r="B364" s="37" t="s">
        <v>3024</v>
      </c>
      <c r="C364" s="38" t="s">
        <v>3025</v>
      </c>
      <c r="D364" s="39">
        <v>35210</v>
      </c>
      <c r="E364" s="38" t="s">
        <v>40</v>
      </c>
      <c r="F364" s="40" t="s">
        <v>48</v>
      </c>
      <c r="G364" s="38" t="s">
        <v>3026</v>
      </c>
      <c r="H364" s="38" t="s">
        <v>510</v>
      </c>
      <c r="I364" s="38" t="s">
        <v>114</v>
      </c>
      <c r="J364" s="41" t="s">
        <v>3027</v>
      </c>
      <c r="K364" s="41" t="s">
        <v>3028</v>
      </c>
      <c r="L364" s="43"/>
      <c r="M364" s="38" t="s">
        <v>99</v>
      </c>
      <c r="N364" s="43" t="s">
        <v>3029</v>
      </c>
      <c r="O364" s="43" t="s">
        <v>428</v>
      </c>
      <c r="P364" s="41" t="s">
        <v>3030</v>
      </c>
      <c r="Q364" s="41"/>
      <c r="R364" s="50" t="s">
        <v>3031</v>
      </c>
      <c r="S364" s="38" t="s">
        <v>3032</v>
      </c>
      <c r="T364" s="38"/>
      <c r="U364" s="38"/>
      <c r="V364" s="60">
        <v>43370</v>
      </c>
      <c r="W364" s="41" t="s">
        <v>3033</v>
      </c>
      <c r="X364" s="38">
        <v>1332</v>
      </c>
      <c r="Y364" s="38" t="s">
        <v>52</v>
      </c>
      <c r="Z364" s="38" t="s">
        <v>1816</v>
      </c>
      <c r="AA364" s="38" t="s">
        <v>777</v>
      </c>
      <c r="AB364" s="38" t="s">
        <v>778</v>
      </c>
      <c r="AC364" s="45"/>
      <c r="AD364" s="7"/>
      <c r="AE364" s="7"/>
      <c r="AF364" s="46" t="str">
        <f>IF(R364="","",RIGHT(R364,LEN(R364)-FIND("@",R364)))</f>
        <v>gmail.com</v>
      </c>
      <c r="AG364" s="47">
        <f>LEN(R364)-LEN(SUBSTITUTE(R364," ",""))</f>
        <v>0</v>
      </c>
      <c r="AH364" s="46" t="str">
        <f>SUBSTITUTE(R364," ","")</f>
        <v>andikadaud2505@gmail.com</v>
      </c>
      <c r="AI364" s="46">
        <f>LEN(AH364)-LEN(SUBSTITUTE(AH364," ",""))</f>
        <v>0</v>
      </c>
    </row>
    <row r="365" spans="1:35" x14ac:dyDescent="0.25">
      <c r="A365" s="36">
        <v>358</v>
      </c>
      <c r="B365" s="53" t="s">
        <v>3034</v>
      </c>
      <c r="C365" s="54" t="s">
        <v>328</v>
      </c>
      <c r="D365" s="55">
        <v>36028</v>
      </c>
      <c r="E365" s="54" t="s">
        <v>40</v>
      </c>
      <c r="F365" s="53"/>
      <c r="G365" s="54" t="s">
        <v>3035</v>
      </c>
      <c r="H365" s="54"/>
      <c r="I365" s="54"/>
      <c r="J365" s="54" t="s">
        <v>3036</v>
      </c>
      <c r="K365" s="54"/>
      <c r="L365" s="54"/>
      <c r="M365" s="54"/>
      <c r="N365" s="54"/>
      <c r="O365" s="54"/>
      <c r="P365" s="54"/>
      <c r="Q365" s="54" t="s">
        <v>3037</v>
      </c>
      <c r="R365" s="57" t="s">
        <v>74</v>
      </c>
      <c r="S365" s="54" t="s">
        <v>3038</v>
      </c>
      <c r="T365" s="54"/>
      <c r="U365" s="54" t="s">
        <v>3039</v>
      </c>
      <c r="V365" s="55">
        <v>43378</v>
      </c>
      <c r="W365" s="54"/>
      <c r="X365" s="54"/>
      <c r="Y365" s="54" t="s">
        <v>85</v>
      </c>
      <c r="Z365" s="54"/>
      <c r="AA365" s="54"/>
      <c r="AB365" s="54"/>
      <c r="AC365" s="58" t="s">
        <v>2190</v>
      </c>
      <c r="AD365" s="7"/>
      <c r="AE365" s="7"/>
      <c r="AF365" s="46"/>
      <c r="AG365" s="47"/>
      <c r="AH365" s="46"/>
      <c r="AI365" s="46"/>
    </row>
    <row r="366" spans="1:35" x14ac:dyDescent="0.25">
      <c r="A366" s="36">
        <v>359</v>
      </c>
      <c r="B366" s="37" t="s">
        <v>3040</v>
      </c>
      <c r="C366" s="38" t="s">
        <v>554</v>
      </c>
      <c r="D366" s="39">
        <v>36734</v>
      </c>
      <c r="E366" s="38" t="s">
        <v>95</v>
      </c>
      <c r="F366" s="40" t="s">
        <v>48</v>
      </c>
      <c r="G366" s="38" t="s">
        <v>3041</v>
      </c>
      <c r="H366" s="38" t="s">
        <v>72</v>
      </c>
      <c r="I366" s="38" t="s">
        <v>114</v>
      </c>
      <c r="J366" s="43" t="s">
        <v>3042</v>
      </c>
      <c r="K366" s="43" t="s">
        <v>3043</v>
      </c>
      <c r="L366" s="43"/>
      <c r="M366" s="38" t="s">
        <v>99</v>
      </c>
      <c r="N366" s="43" t="s">
        <v>3044</v>
      </c>
      <c r="O366" s="43" t="s">
        <v>3045</v>
      </c>
      <c r="P366" s="41" t="s">
        <v>3046</v>
      </c>
      <c r="Q366" s="43" t="s">
        <v>3047</v>
      </c>
      <c r="R366" s="50" t="s">
        <v>3048</v>
      </c>
      <c r="S366" s="38" t="s">
        <v>3049</v>
      </c>
      <c r="T366" s="38" t="s">
        <v>65</v>
      </c>
      <c r="U366" s="40" t="s">
        <v>3050</v>
      </c>
      <c r="V366" s="52">
        <v>43389</v>
      </c>
      <c r="W366" s="41" t="s">
        <v>3051</v>
      </c>
      <c r="X366" s="38">
        <v>1335</v>
      </c>
      <c r="Y366" s="38" t="s">
        <v>52</v>
      </c>
      <c r="Z366" s="38" t="s">
        <v>172</v>
      </c>
      <c r="AA366" s="38" t="s">
        <v>125</v>
      </c>
      <c r="AB366" s="38" t="s">
        <v>546</v>
      </c>
      <c r="AC366" s="45"/>
      <c r="AD366" s="7"/>
      <c r="AE366" s="7"/>
      <c r="AF366" s="46" t="str">
        <f>IF(R366="","",RIGHT(R366,LEN(R366)-FIND("@",R366)))</f>
        <v>gmail.com</v>
      </c>
      <c r="AG366" s="47">
        <f>LEN(R366)-LEN(SUBSTITUTE(R366," ",""))</f>
        <v>0</v>
      </c>
      <c r="AH366" s="46" t="str">
        <f>SUBSTITUTE(R366," ","")</f>
        <v>sugiariros410@gmail.com</v>
      </c>
      <c r="AI366" s="46">
        <f>LEN(AH366)-LEN(SUBSTITUTE(AH366," ",""))</f>
        <v>0</v>
      </c>
    </row>
    <row r="367" spans="1:35" x14ac:dyDescent="0.25">
      <c r="A367" s="36">
        <v>360</v>
      </c>
      <c r="B367" s="53" t="s">
        <v>3052</v>
      </c>
      <c r="C367" s="54" t="s">
        <v>554</v>
      </c>
      <c r="D367" s="55">
        <v>36794</v>
      </c>
      <c r="E367" s="54" t="s">
        <v>40</v>
      </c>
      <c r="F367" s="53"/>
      <c r="G367" s="54" t="s">
        <v>3053</v>
      </c>
      <c r="H367" s="54"/>
      <c r="I367" s="54"/>
      <c r="J367" s="54" t="s">
        <v>3054</v>
      </c>
      <c r="K367" s="54"/>
      <c r="L367" s="54"/>
      <c r="M367" s="54"/>
      <c r="N367" s="54"/>
      <c r="O367" s="54"/>
      <c r="P367" s="54"/>
      <c r="Q367" s="54" t="s">
        <v>3055</v>
      </c>
      <c r="R367" s="57" t="s">
        <v>74</v>
      </c>
      <c r="S367" s="54" t="s">
        <v>758</v>
      </c>
      <c r="T367" s="54"/>
      <c r="U367" s="54" t="s">
        <v>3056</v>
      </c>
      <c r="V367" s="55">
        <v>43392</v>
      </c>
      <c r="W367" s="54"/>
      <c r="X367" s="54"/>
      <c r="Y367" s="54" t="s">
        <v>85</v>
      </c>
      <c r="Z367" s="54"/>
      <c r="AA367" s="54"/>
      <c r="AB367" s="54"/>
      <c r="AC367" s="58">
        <v>43418</v>
      </c>
      <c r="AD367" s="7"/>
      <c r="AE367" s="7"/>
      <c r="AF367" s="46" t="str">
        <f>IF(R367="","",RIGHT(R367,LEN(R367)-FIND("@",R367)))</f>
        <v/>
      </c>
      <c r="AG367" s="47">
        <f>LEN(R367)-LEN(SUBSTITUTE(R367," ",""))</f>
        <v>0</v>
      </c>
      <c r="AH367" s="46" t="str">
        <f>SUBSTITUTE(R367," ","")</f>
        <v/>
      </c>
      <c r="AI367" s="46">
        <f>LEN(AH367)-LEN(SUBSTITUTE(AH367," ",""))</f>
        <v>0</v>
      </c>
    </row>
    <row r="368" spans="1:35" x14ac:dyDescent="0.25">
      <c r="A368" s="36">
        <v>361</v>
      </c>
      <c r="B368" s="53" t="s">
        <v>3057</v>
      </c>
      <c r="C368" s="54" t="s">
        <v>3058</v>
      </c>
      <c r="D368" s="55">
        <v>36391</v>
      </c>
      <c r="E368" s="54" t="s">
        <v>40</v>
      </c>
      <c r="F368" s="53"/>
      <c r="G368" s="54" t="s">
        <v>3059</v>
      </c>
      <c r="H368" s="54"/>
      <c r="I368" s="54"/>
      <c r="J368" s="54" t="s">
        <v>3060</v>
      </c>
      <c r="K368" s="54"/>
      <c r="L368" s="54"/>
      <c r="M368" s="54"/>
      <c r="N368" s="54"/>
      <c r="O368" s="54"/>
      <c r="P368" s="54"/>
      <c r="Q368" s="54" t="s">
        <v>3061</v>
      </c>
      <c r="R368" s="57" t="s">
        <v>74</v>
      </c>
      <c r="S368" s="54" t="s">
        <v>3062</v>
      </c>
      <c r="T368" s="54"/>
      <c r="U368" s="54" t="s">
        <v>3063</v>
      </c>
      <c r="V368" s="55">
        <v>43397</v>
      </c>
      <c r="W368" s="54"/>
      <c r="X368" s="54"/>
      <c r="Y368" s="54" t="s">
        <v>85</v>
      </c>
      <c r="Z368" s="54"/>
      <c r="AA368" s="54"/>
      <c r="AB368" s="54"/>
      <c r="AC368" s="58">
        <v>43647</v>
      </c>
      <c r="AD368" s="7"/>
      <c r="AE368" s="7"/>
      <c r="AF368" s="46"/>
      <c r="AG368" s="47"/>
      <c r="AH368" s="46"/>
      <c r="AI368" s="46"/>
    </row>
    <row r="369" spans="1:35" x14ac:dyDescent="0.25">
      <c r="A369" s="48">
        <v>362</v>
      </c>
      <c r="B369" s="37" t="s">
        <v>3064</v>
      </c>
      <c r="C369" s="38" t="s">
        <v>712</v>
      </c>
      <c r="D369" s="39">
        <v>34152</v>
      </c>
      <c r="E369" s="38" t="s">
        <v>40</v>
      </c>
      <c r="F369" s="38" t="s">
        <v>129</v>
      </c>
      <c r="G369" s="38" t="s">
        <v>3065</v>
      </c>
      <c r="H369" s="38" t="s">
        <v>113</v>
      </c>
      <c r="I369" s="38" t="s">
        <v>114</v>
      </c>
      <c r="J369" s="40" t="s">
        <v>3066</v>
      </c>
      <c r="K369" s="40" t="s">
        <v>3067</v>
      </c>
      <c r="L369" s="40"/>
      <c r="M369" s="38" t="s">
        <v>99</v>
      </c>
      <c r="N369" s="43" t="s">
        <v>48</v>
      </c>
      <c r="O369" s="43"/>
      <c r="P369" s="40" t="s">
        <v>3068</v>
      </c>
      <c r="Q369" s="40" t="s">
        <v>3069</v>
      </c>
      <c r="R369" s="50" t="s">
        <v>3070</v>
      </c>
      <c r="S369" s="38" t="s">
        <v>3071</v>
      </c>
      <c r="T369" s="38" t="s">
        <v>3072</v>
      </c>
      <c r="U369" s="40" t="s">
        <v>3073</v>
      </c>
      <c r="V369" s="52">
        <v>43402</v>
      </c>
      <c r="W369" s="65" t="s">
        <v>3074</v>
      </c>
      <c r="X369" s="38">
        <v>1338</v>
      </c>
      <c r="Y369" s="38" t="s">
        <v>52</v>
      </c>
      <c r="Z369" s="38" t="s">
        <v>3075</v>
      </c>
      <c r="AA369" s="38" t="s">
        <v>500</v>
      </c>
      <c r="AB369" s="38" t="s">
        <v>214</v>
      </c>
      <c r="AC369" s="45"/>
      <c r="AD369" s="7"/>
      <c r="AE369" s="7"/>
      <c r="AF369" s="46"/>
      <c r="AG369" s="47"/>
      <c r="AH369" s="46"/>
      <c r="AI369" s="46"/>
    </row>
    <row r="370" spans="1:35" x14ac:dyDescent="0.25">
      <c r="A370" s="36">
        <v>363</v>
      </c>
      <c r="B370" s="53" t="s">
        <v>3076</v>
      </c>
      <c r="C370" s="54" t="s">
        <v>3077</v>
      </c>
      <c r="D370" s="55">
        <v>35006</v>
      </c>
      <c r="E370" s="54" t="s">
        <v>40</v>
      </c>
      <c r="F370" s="53"/>
      <c r="G370" s="54" t="s">
        <v>3078</v>
      </c>
      <c r="H370" s="54"/>
      <c r="I370" s="54"/>
      <c r="J370" s="54" t="s">
        <v>3079</v>
      </c>
      <c r="K370" s="54"/>
      <c r="L370" s="54"/>
      <c r="M370" s="54"/>
      <c r="N370" s="54"/>
      <c r="O370" s="54"/>
      <c r="P370" s="54"/>
      <c r="Q370" s="54" t="s">
        <v>3080</v>
      </c>
      <c r="R370" s="57" t="s">
        <v>74</v>
      </c>
      <c r="S370" s="54" t="s">
        <v>3081</v>
      </c>
      <c r="T370" s="54"/>
      <c r="U370" s="54" t="s">
        <v>3082</v>
      </c>
      <c r="V370" s="55">
        <v>43406</v>
      </c>
      <c r="W370" s="54"/>
      <c r="X370" s="54"/>
      <c r="Y370" s="54" t="s">
        <v>85</v>
      </c>
      <c r="Z370" s="54"/>
      <c r="AA370" s="54"/>
      <c r="AB370" s="54"/>
      <c r="AC370" s="58">
        <v>43678</v>
      </c>
      <c r="AD370" s="7"/>
      <c r="AE370" s="7"/>
      <c r="AF370" s="46" t="str">
        <f>IF(R370="","",RIGHT(R370,LEN(R370)-FIND("@",R370)))</f>
        <v/>
      </c>
      <c r="AG370" s="47">
        <f>LEN(R370)-LEN(SUBSTITUTE(R370," ",""))</f>
        <v>0</v>
      </c>
      <c r="AH370" s="46" t="str">
        <f>SUBSTITUTE(R370," ","")</f>
        <v/>
      </c>
      <c r="AI370" s="46">
        <f>LEN(AH370)-LEN(SUBSTITUTE(AH370," ",""))</f>
        <v>0</v>
      </c>
    </row>
    <row r="371" spans="1:35" x14ac:dyDescent="0.25">
      <c r="A371" s="36">
        <v>364</v>
      </c>
      <c r="B371" s="37" t="s">
        <v>3083</v>
      </c>
      <c r="C371" s="38" t="s">
        <v>3084</v>
      </c>
      <c r="D371" s="39">
        <v>34157</v>
      </c>
      <c r="E371" s="38" t="s">
        <v>95</v>
      </c>
      <c r="F371" s="40" t="s">
        <v>48</v>
      </c>
      <c r="G371" s="38" t="s">
        <v>3085</v>
      </c>
      <c r="H371" s="38" t="s">
        <v>72</v>
      </c>
      <c r="I371" s="38" t="s">
        <v>44</v>
      </c>
      <c r="J371" s="41" t="s">
        <v>3086</v>
      </c>
      <c r="K371" s="41" t="s">
        <v>3087</v>
      </c>
      <c r="L371" s="41"/>
      <c r="M371" s="38" t="s">
        <v>99</v>
      </c>
      <c r="N371" s="43" t="s">
        <v>3088</v>
      </c>
      <c r="O371" s="43" t="s">
        <v>147</v>
      </c>
      <c r="P371" s="43" t="s">
        <v>3089</v>
      </c>
      <c r="Q371" s="41"/>
      <c r="R371" s="50" t="s">
        <v>3090</v>
      </c>
      <c r="S371" s="38" t="s">
        <v>3091</v>
      </c>
      <c r="T371" s="38"/>
      <c r="U371" s="38"/>
      <c r="V371" s="60">
        <v>43410</v>
      </c>
      <c r="W371" s="41" t="s">
        <v>3092</v>
      </c>
      <c r="X371" s="38">
        <v>1341</v>
      </c>
      <c r="Y371" s="38" t="s">
        <v>52</v>
      </c>
      <c r="Z371" s="38" t="s">
        <v>172</v>
      </c>
      <c r="AA371" s="38" t="s">
        <v>125</v>
      </c>
      <c r="AB371" s="38" t="s">
        <v>382</v>
      </c>
      <c r="AC371" s="45"/>
      <c r="AD371" s="7"/>
      <c r="AE371" s="7"/>
      <c r="AF371" s="46" t="str">
        <f>IF(R371="","",RIGHT(R371,LEN(R371)-FIND("@",R371)))</f>
        <v>gmail.com</v>
      </c>
      <c r="AG371" s="47">
        <f>LEN(R371)-LEN(SUBSTITUTE(R371," ",""))</f>
        <v>0</v>
      </c>
      <c r="AH371" s="46" t="str">
        <f>SUBSTITUTE(R371," ","")</f>
        <v>nika.chan77@gmail.com</v>
      </c>
      <c r="AI371" s="46">
        <f>LEN(AH371)-LEN(SUBSTITUTE(AH371," ",""))</f>
        <v>0</v>
      </c>
    </row>
    <row r="372" spans="1:35" x14ac:dyDescent="0.25">
      <c r="A372" s="36">
        <v>365</v>
      </c>
      <c r="B372" s="53" t="s">
        <v>3093</v>
      </c>
      <c r="C372" s="54" t="s">
        <v>3094</v>
      </c>
      <c r="D372" s="55">
        <v>34594</v>
      </c>
      <c r="E372" s="54" t="s">
        <v>40</v>
      </c>
      <c r="F372" s="53"/>
      <c r="G372" s="54" t="s">
        <v>3095</v>
      </c>
      <c r="H372" s="54"/>
      <c r="I372" s="54"/>
      <c r="J372" s="54" t="s">
        <v>3096</v>
      </c>
      <c r="K372" s="54"/>
      <c r="L372" s="54"/>
      <c r="M372" s="54"/>
      <c r="N372" s="54"/>
      <c r="O372" s="54"/>
      <c r="P372" s="54"/>
      <c r="Q372" s="54" t="s">
        <v>3097</v>
      </c>
      <c r="R372" s="57" t="s">
        <v>74</v>
      </c>
      <c r="S372" s="54" t="s">
        <v>712</v>
      </c>
      <c r="T372" s="54"/>
      <c r="U372" s="54" t="s">
        <v>3098</v>
      </c>
      <c r="V372" s="55">
        <v>43410</v>
      </c>
      <c r="W372" s="54"/>
      <c r="X372" s="54"/>
      <c r="Y372" s="54" t="s">
        <v>85</v>
      </c>
      <c r="Z372" s="54"/>
      <c r="AA372" s="54"/>
      <c r="AB372" s="54"/>
      <c r="AC372" s="58">
        <v>43652</v>
      </c>
      <c r="AD372" s="7"/>
      <c r="AE372" s="7"/>
      <c r="AF372" s="46"/>
      <c r="AG372" s="47"/>
      <c r="AH372" s="46"/>
      <c r="AI372" s="46"/>
    </row>
    <row r="373" spans="1:35" x14ac:dyDescent="0.25">
      <c r="A373" s="36">
        <v>366</v>
      </c>
      <c r="B373" s="53" t="s">
        <v>3099</v>
      </c>
      <c r="C373" s="54" t="s">
        <v>3100</v>
      </c>
      <c r="D373" s="55">
        <v>35796</v>
      </c>
      <c r="E373" s="54" t="s">
        <v>40</v>
      </c>
      <c r="F373" s="53"/>
      <c r="G373" s="54" t="s">
        <v>3101</v>
      </c>
      <c r="H373" s="54"/>
      <c r="I373" s="54"/>
      <c r="J373" s="54" t="s">
        <v>3102</v>
      </c>
      <c r="K373" s="54"/>
      <c r="L373" s="54"/>
      <c r="M373" s="54"/>
      <c r="N373" s="54"/>
      <c r="O373" s="54"/>
      <c r="P373" s="54"/>
      <c r="Q373" s="54" t="s">
        <v>3103</v>
      </c>
      <c r="R373" s="57" t="s">
        <v>74</v>
      </c>
      <c r="S373" s="54" t="s">
        <v>3104</v>
      </c>
      <c r="T373" s="54"/>
      <c r="U373" s="54" t="s">
        <v>3105</v>
      </c>
      <c r="V373" s="55">
        <v>43411</v>
      </c>
      <c r="W373" s="54"/>
      <c r="X373" s="54"/>
      <c r="Y373" s="54" t="s">
        <v>85</v>
      </c>
      <c r="Z373" s="54"/>
      <c r="AA373" s="54"/>
      <c r="AB373" s="54"/>
      <c r="AC373" s="58">
        <v>43473</v>
      </c>
      <c r="AD373" s="7"/>
      <c r="AE373" s="7"/>
      <c r="AF373" s="46"/>
      <c r="AG373" s="47"/>
      <c r="AH373" s="46"/>
      <c r="AI373" s="46"/>
    </row>
    <row r="374" spans="1:35" x14ac:dyDescent="0.25">
      <c r="A374" s="36">
        <v>367</v>
      </c>
      <c r="B374" s="37" t="s">
        <v>3106</v>
      </c>
      <c r="C374" s="38" t="s">
        <v>1130</v>
      </c>
      <c r="D374" s="39">
        <v>35617</v>
      </c>
      <c r="E374" s="38" t="s">
        <v>40</v>
      </c>
      <c r="F374" s="38" t="s">
        <v>48</v>
      </c>
      <c r="G374" s="38" t="s">
        <v>3107</v>
      </c>
      <c r="H374" s="38" t="s">
        <v>72</v>
      </c>
      <c r="I374" s="38" t="s">
        <v>114</v>
      </c>
      <c r="J374" s="41" t="s">
        <v>3108</v>
      </c>
      <c r="K374" s="41" t="s">
        <v>3109</v>
      </c>
      <c r="L374" s="41"/>
      <c r="M374" s="38" t="s">
        <v>99</v>
      </c>
      <c r="N374" s="43" t="s">
        <v>3110</v>
      </c>
      <c r="O374" s="43" t="s">
        <v>147</v>
      </c>
      <c r="P374" s="41" t="s">
        <v>3111</v>
      </c>
      <c r="Q374" s="41" t="s">
        <v>3112</v>
      </c>
      <c r="R374" s="74" t="s">
        <v>3113</v>
      </c>
      <c r="S374" s="38" t="s">
        <v>3114</v>
      </c>
      <c r="T374" s="38" t="s">
        <v>3115</v>
      </c>
      <c r="U374" s="38" t="s">
        <v>3116</v>
      </c>
      <c r="V374" s="60">
        <v>43412</v>
      </c>
      <c r="W374" s="41" t="s">
        <v>3117</v>
      </c>
      <c r="X374" s="38">
        <v>1343</v>
      </c>
      <c r="Y374" s="38" t="s">
        <v>52</v>
      </c>
      <c r="Z374" s="38" t="s">
        <v>226</v>
      </c>
      <c r="AA374" s="38" t="s">
        <v>125</v>
      </c>
      <c r="AB374" s="38" t="s">
        <v>382</v>
      </c>
      <c r="AC374" s="45"/>
      <c r="AD374" s="7"/>
      <c r="AE374" s="7"/>
      <c r="AF374" s="46" t="str">
        <f>IF(R374="","",RIGHT(R374,LEN(R374)-FIND("@",R374)))</f>
        <v>gmail.com</v>
      </c>
      <c r="AG374" s="47">
        <f>LEN(R374)-LEN(SUBSTITUTE(R374," ",""))</f>
        <v>0</v>
      </c>
      <c r="AH374" s="46" t="str">
        <f>SUBSTITUTE(R374," ","")</f>
        <v>puputtude11@gmail.com</v>
      </c>
      <c r="AI374" s="46">
        <f>LEN(AH374)-LEN(SUBSTITUTE(AH374," ",""))</f>
        <v>0</v>
      </c>
    </row>
    <row r="375" spans="1:35" x14ac:dyDescent="0.25">
      <c r="A375" s="48">
        <v>368</v>
      </c>
      <c r="B375" s="53" t="s">
        <v>3118</v>
      </c>
      <c r="C375" s="54" t="s">
        <v>3119</v>
      </c>
      <c r="D375" s="55">
        <v>33331</v>
      </c>
      <c r="E375" s="54" t="s">
        <v>40</v>
      </c>
      <c r="F375" s="53"/>
      <c r="G375" s="54" t="s">
        <v>3120</v>
      </c>
      <c r="H375" s="54"/>
      <c r="I375" s="54"/>
      <c r="J375" s="54" t="s">
        <v>3121</v>
      </c>
      <c r="K375" s="54"/>
      <c r="L375" s="54"/>
      <c r="M375" s="54"/>
      <c r="N375" s="54"/>
      <c r="O375" s="54"/>
      <c r="P375" s="54"/>
      <c r="Q375" s="54" t="s">
        <v>3122</v>
      </c>
      <c r="R375" s="57" t="s">
        <v>74</v>
      </c>
      <c r="S375" s="54" t="s">
        <v>3123</v>
      </c>
      <c r="T375" s="54"/>
      <c r="U375" s="54" t="s">
        <v>3124</v>
      </c>
      <c r="V375" s="55">
        <v>43423</v>
      </c>
      <c r="W375" s="54"/>
      <c r="X375" s="54"/>
      <c r="Y375" s="54" t="s">
        <v>85</v>
      </c>
      <c r="Z375" s="54"/>
      <c r="AA375" s="54"/>
      <c r="AB375" s="54"/>
      <c r="AC375" s="58">
        <v>43472</v>
      </c>
      <c r="AD375" s="7"/>
      <c r="AE375" s="7"/>
      <c r="AF375" s="46" t="str">
        <f>IF(R375="","",RIGHT(R375,LEN(R375)-FIND("@",R375)))</f>
        <v/>
      </c>
      <c r="AG375" s="47">
        <f>LEN(R375)-LEN(SUBSTITUTE(R375," ",""))</f>
        <v>0</v>
      </c>
      <c r="AH375" s="46" t="str">
        <f>SUBSTITUTE(R375," ","")</f>
        <v/>
      </c>
      <c r="AI375" s="46">
        <f>LEN(AH375)-LEN(SUBSTITUTE(AH375," ",""))</f>
        <v>0</v>
      </c>
    </row>
    <row r="376" spans="1:35" x14ac:dyDescent="0.25">
      <c r="A376" s="36">
        <v>369</v>
      </c>
      <c r="B376" s="53" t="s">
        <v>3125</v>
      </c>
      <c r="C376" s="54" t="s">
        <v>94</v>
      </c>
      <c r="D376" s="55">
        <v>35608</v>
      </c>
      <c r="E376" s="54" t="s">
        <v>40</v>
      </c>
      <c r="F376" s="53"/>
      <c r="G376" s="54" t="s">
        <v>3126</v>
      </c>
      <c r="H376" s="54"/>
      <c r="I376" s="54"/>
      <c r="J376" s="54" t="s">
        <v>3127</v>
      </c>
      <c r="K376" s="54"/>
      <c r="L376" s="54"/>
      <c r="M376" s="54"/>
      <c r="N376" s="54"/>
      <c r="O376" s="54"/>
      <c r="P376" s="54"/>
      <c r="Q376" s="54" t="s">
        <v>3128</v>
      </c>
      <c r="R376" s="57" t="s">
        <v>74</v>
      </c>
      <c r="S376" s="54" t="s">
        <v>3126</v>
      </c>
      <c r="T376" s="54"/>
      <c r="U376" s="54" t="s">
        <v>3129</v>
      </c>
      <c r="V376" s="55">
        <v>43423</v>
      </c>
      <c r="W376" s="54"/>
      <c r="X376" s="54"/>
      <c r="Y376" s="54" t="s">
        <v>85</v>
      </c>
      <c r="Z376" s="54"/>
      <c r="AA376" s="54"/>
      <c r="AB376" s="54"/>
      <c r="AC376" s="58" t="s">
        <v>3130</v>
      </c>
      <c r="AD376" s="7"/>
      <c r="AE376" s="7"/>
      <c r="AF376" s="46"/>
      <c r="AG376" s="47"/>
      <c r="AH376" s="46"/>
      <c r="AI376" s="46"/>
    </row>
    <row r="377" spans="1:35" x14ac:dyDescent="0.25">
      <c r="A377" s="36">
        <v>370</v>
      </c>
      <c r="B377" s="37" t="s">
        <v>3131</v>
      </c>
      <c r="C377" s="38" t="s">
        <v>94</v>
      </c>
      <c r="D377" s="39">
        <v>35883</v>
      </c>
      <c r="E377" s="38" t="s">
        <v>95</v>
      </c>
      <c r="F377" s="40" t="s">
        <v>48</v>
      </c>
      <c r="G377" s="38" t="s">
        <v>3132</v>
      </c>
      <c r="H377" s="38" t="s">
        <v>72</v>
      </c>
      <c r="I377" s="38" t="s">
        <v>114</v>
      </c>
      <c r="J377" s="41" t="s">
        <v>3133</v>
      </c>
      <c r="K377" s="41" t="s">
        <v>3134</v>
      </c>
      <c r="L377" s="43"/>
      <c r="M377" s="38" t="s">
        <v>99</v>
      </c>
      <c r="N377" s="41" t="s">
        <v>3135</v>
      </c>
      <c r="O377" s="41" t="s">
        <v>164</v>
      </c>
      <c r="P377" s="41" t="s">
        <v>3136</v>
      </c>
      <c r="Q377" s="43" t="s">
        <v>3137</v>
      </c>
      <c r="R377" s="50" t="s">
        <v>3138</v>
      </c>
      <c r="S377" s="38" t="s">
        <v>3139</v>
      </c>
      <c r="T377" s="38" t="s">
        <v>3140</v>
      </c>
      <c r="U377" s="40" t="s">
        <v>3141</v>
      </c>
      <c r="V377" s="60">
        <v>43425</v>
      </c>
      <c r="W377" s="41" t="s">
        <v>3142</v>
      </c>
      <c r="X377" s="38">
        <v>1346</v>
      </c>
      <c r="Y377" s="38" t="s">
        <v>52</v>
      </c>
      <c r="Z377" s="38" t="s">
        <v>172</v>
      </c>
      <c r="AA377" s="38" t="s">
        <v>125</v>
      </c>
      <c r="AB377" s="38" t="s">
        <v>341</v>
      </c>
      <c r="AC377" s="45"/>
      <c r="AD377" s="7"/>
      <c r="AE377" s="7"/>
      <c r="AF377" s="46"/>
      <c r="AG377" s="47"/>
      <c r="AH377" s="46"/>
      <c r="AI377" s="46"/>
    </row>
    <row r="378" spans="1:35" x14ac:dyDescent="0.25">
      <c r="A378" s="36">
        <v>371</v>
      </c>
      <c r="B378" s="37" t="s">
        <v>3143</v>
      </c>
      <c r="C378" s="38" t="s">
        <v>94</v>
      </c>
      <c r="D378" s="39">
        <v>34263</v>
      </c>
      <c r="E378" s="38" t="s">
        <v>40</v>
      </c>
      <c r="F378" s="38" t="s">
        <v>129</v>
      </c>
      <c r="G378" s="38" t="s">
        <v>3144</v>
      </c>
      <c r="H378" s="38" t="s">
        <v>3145</v>
      </c>
      <c r="I378" s="38" t="s">
        <v>44</v>
      </c>
      <c r="J378" s="41" t="s">
        <v>3146</v>
      </c>
      <c r="K378" s="41" t="s">
        <v>3147</v>
      </c>
      <c r="L378" s="41"/>
      <c r="M378" s="38" t="s">
        <v>133</v>
      </c>
      <c r="N378" s="43" t="s">
        <v>3148</v>
      </c>
      <c r="O378" s="43" t="s">
        <v>428</v>
      </c>
      <c r="P378" s="41" t="s">
        <v>3149</v>
      </c>
      <c r="Q378" s="41" t="s">
        <v>3150</v>
      </c>
      <c r="R378" s="50" t="s">
        <v>3151</v>
      </c>
      <c r="S378" s="38" t="s">
        <v>3152</v>
      </c>
      <c r="T378" s="38" t="s">
        <v>3153</v>
      </c>
      <c r="U378" s="38" t="s">
        <v>3154</v>
      </c>
      <c r="V378" s="60">
        <v>43427</v>
      </c>
      <c r="W378" s="41" t="s">
        <v>3155</v>
      </c>
      <c r="X378" s="38">
        <v>1347</v>
      </c>
      <c r="Y378" s="38" t="s">
        <v>52</v>
      </c>
      <c r="Z378" s="38" t="s">
        <v>226</v>
      </c>
      <c r="AA378" s="38" t="s">
        <v>125</v>
      </c>
      <c r="AB378" s="38" t="s">
        <v>1570</v>
      </c>
      <c r="AC378" s="45"/>
      <c r="AD378" s="7"/>
      <c r="AE378" s="7"/>
      <c r="AF378" s="46" t="str">
        <f>IF(R378="","",RIGHT(R378,LEN(R378)-FIND("@",R378)))</f>
        <v>gmail.com</v>
      </c>
      <c r="AG378" s="47">
        <f>LEN(R378)-LEN(SUBSTITUTE(R378," ",""))</f>
        <v>0</v>
      </c>
      <c r="AH378" s="46" t="str">
        <f>SUBSTITUTE(R378," ","")</f>
        <v>ariskadek310@gmail.com</v>
      </c>
      <c r="AI378" s="46">
        <f>LEN(AH378)-LEN(SUBSTITUTE(AH378," ",""))</f>
        <v>0</v>
      </c>
    </row>
    <row r="379" spans="1:35" x14ac:dyDescent="0.25">
      <c r="A379" s="36">
        <v>372</v>
      </c>
      <c r="B379" s="37" t="s">
        <v>3156</v>
      </c>
      <c r="C379" s="38" t="s">
        <v>328</v>
      </c>
      <c r="D379" s="39">
        <v>34189</v>
      </c>
      <c r="E379" s="38" t="s">
        <v>40</v>
      </c>
      <c r="F379" s="40" t="s">
        <v>48</v>
      </c>
      <c r="G379" s="38" t="s">
        <v>3157</v>
      </c>
      <c r="H379" s="38" t="s">
        <v>113</v>
      </c>
      <c r="I379" s="38" t="s">
        <v>114</v>
      </c>
      <c r="J379" s="41" t="s">
        <v>3158</v>
      </c>
      <c r="K379" s="41" t="s">
        <v>3159</v>
      </c>
      <c r="L379" s="43"/>
      <c r="M379" s="38" t="s">
        <v>99</v>
      </c>
      <c r="N379" s="41" t="s">
        <v>3160</v>
      </c>
      <c r="O379" s="41" t="s">
        <v>428</v>
      </c>
      <c r="P379" s="41" t="s">
        <v>3161</v>
      </c>
      <c r="Q379" s="41" t="s">
        <v>3162</v>
      </c>
      <c r="R379" s="50" t="s">
        <v>3163</v>
      </c>
      <c r="S379" s="38" t="s">
        <v>2864</v>
      </c>
      <c r="T379" s="38" t="s">
        <v>1238</v>
      </c>
      <c r="U379" s="38" t="s">
        <v>3164</v>
      </c>
      <c r="V379" s="60">
        <v>43435</v>
      </c>
      <c r="W379" s="41" t="s">
        <v>3165</v>
      </c>
      <c r="X379" s="38">
        <v>1348</v>
      </c>
      <c r="Y379" s="38" t="s">
        <v>52</v>
      </c>
      <c r="Z379" s="38" t="s">
        <v>416</v>
      </c>
      <c r="AA379" s="38" t="s">
        <v>125</v>
      </c>
      <c r="AB379" s="38" t="s">
        <v>689</v>
      </c>
      <c r="AC379" s="45"/>
      <c r="AD379" s="7"/>
      <c r="AE379" s="7"/>
      <c r="AF379" s="46" t="str">
        <f>IF(R379="","",RIGHT(R379,LEN(R379)-FIND("@",R379)))</f>
        <v>gmail.com</v>
      </c>
      <c r="AG379" s="47">
        <f>LEN(R379)-LEN(SUBSTITUTE(R379," ",""))</f>
        <v>0</v>
      </c>
      <c r="AH379" s="46" t="str">
        <f>SUBSTITUTE(R379," ","")</f>
        <v>alijhonn89@gmail.com</v>
      </c>
      <c r="AI379" s="46">
        <f>LEN(AH379)-LEN(SUBSTITUTE(AH379," ",""))</f>
        <v>0</v>
      </c>
    </row>
    <row r="380" spans="1:35" x14ac:dyDescent="0.25">
      <c r="A380" s="36">
        <v>373</v>
      </c>
      <c r="B380" s="53" t="s">
        <v>3166</v>
      </c>
      <c r="C380" s="54" t="s">
        <v>94</v>
      </c>
      <c r="D380" s="55">
        <v>34246</v>
      </c>
      <c r="E380" s="54" t="s">
        <v>40</v>
      </c>
      <c r="F380" s="53"/>
      <c r="G380" s="54" t="s">
        <v>3167</v>
      </c>
      <c r="H380" s="54"/>
      <c r="I380" s="54"/>
      <c r="J380" s="54" t="s">
        <v>3168</v>
      </c>
      <c r="K380" s="54"/>
      <c r="L380" s="54"/>
      <c r="M380" s="54"/>
      <c r="N380" s="54"/>
      <c r="O380" s="54"/>
      <c r="P380" s="54"/>
      <c r="Q380" s="54" t="s">
        <v>3169</v>
      </c>
      <c r="R380" s="57" t="s">
        <v>74</v>
      </c>
      <c r="S380" s="54" t="s">
        <v>3167</v>
      </c>
      <c r="T380" s="54"/>
      <c r="U380" s="54" t="s">
        <v>3170</v>
      </c>
      <c r="V380" s="55">
        <v>43435</v>
      </c>
      <c r="W380" s="54"/>
      <c r="X380" s="54"/>
      <c r="Y380" s="54" t="s">
        <v>85</v>
      </c>
      <c r="Z380" s="54"/>
      <c r="AA380" s="54"/>
      <c r="AB380" s="54"/>
      <c r="AC380" s="58">
        <v>43525</v>
      </c>
      <c r="AD380" s="7"/>
      <c r="AE380" s="7"/>
      <c r="AF380" s="46"/>
      <c r="AG380" s="47"/>
      <c r="AH380" s="46"/>
      <c r="AI380" s="46"/>
    </row>
    <row r="381" spans="1:35" x14ac:dyDescent="0.25">
      <c r="A381" s="48">
        <v>374</v>
      </c>
      <c r="B381" s="37" t="s">
        <v>3171</v>
      </c>
      <c r="C381" s="38" t="s">
        <v>2048</v>
      </c>
      <c r="D381" s="39">
        <v>33326</v>
      </c>
      <c r="E381" s="38" t="s">
        <v>95</v>
      </c>
      <c r="F381" s="40" t="s">
        <v>48</v>
      </c>
      <c r="G381" s="38" t="s">
        <v>3172</v>
      </c>
      <c r="H381" s="38" t="s">
        <v>113</v>
      </c>
      <c r="I381" s="38" t="s">
        <v>44</v>
      </c>
      <c r="J381" s="41" t="s">
        <v>3173</v>
      </c>
      <c r="K381" s="41" t="s">
        <v>3174</v>
      </c>
      <c r="L381" s="41"/>
      <c r="M381" s="38" t="s">
        <v>99</v>
      </c>
      <c r="N381" s="43" t="s">
        <v>48</v>
      </c>
      <c r="O381" s="43"/>
      <c r="P381" s="41" t="s">
        <v>3175</v>
      </c>
      <c r="Q381" s="41" t="s">
        <v>3176</v>
      </c>
      <c r="R381" s="50" t="s">
        <v>3177</v>
      </c>
      <c r="S381" s="38" t="s">
        <v>3178</v>
      </c>
      <c r="T381" s="38" t="s">
        <v>3179</v>
      </c>
      <c r="U381" s="38" t="s">
        <v>3180</v>
      </c>
      <c r="V381" s="60">
        <v>43438</v>
      </c>
      <c r="W381" s="41" t="s">
        <v>3181</v>
      </c>
      <c r="X381" s="38">
        <v>1350</v>
      </c>
      <c r="Y381" s="38" t="s">
        <v>52</v>
      </c>
      <c r="Z381" s="38" t="s">
        <v>172</v>
      </c>
      <c r="AA381" s="38" t="s">
        <v>125</v>
      </c>
      <c r="AB381" s="38" t="s">
        <v>467</v>
      </c>
      <c r="AC381" s="45"/>
      <c r="AD381" s="7"/>
      <c r="AE381" s="7"/>
      <c r="AF381" s="46"/>
      <c r="AG381" s="47"/>
      <c r="AH381" s="46"/>
      <c r="AI381" s="46"/>
    </row>
    <row r="382" spans="1:35" x14ac:dyDescent="0.25">
      <c r="A382" s="36">
        <v>375</v>
      </c>
      <c r="B382" s="53" t="s">
        <v>3182</v>
      </c>
      <c r="C382" s="54" t="s">
        <v>195</v>
      </c>
      <c r="D382" s="55">
        <v>33179</v>
      </c>
      <c r="E382" s="54" t="s">
        <v>95</v>
      </c>
      <c r="F382" s="53"/>
      <c r="G382" s="54" t="s">
        <v>3183</v>
      </c>
      <c r="H382" s="54"/>
      <c r="I382" s="54"/>
      <c r="J382" s="54" t="s">
        <v>3184</v>
      </c>
      <c r="K382" s="54"/>
      <c r="L382" s="54"/>
      <c r="M382" s="54" t="s">
        <v>99</v>
      </c>
      <c r="N382" s="54"/>
      <c r="O382" s="54"/>
      <c r="P382" s="54"/>
      <c r="Q382" s="54" t="s">
        <v>3185</v>
      </c>
      <c r="R382" s="57" t="s">
        <v>74</v>
      </c>
      <c r="S382" s="54" t="s">
        <v>3186</v>
      </c>
      <c r="T382" s="54"/>
      <c r="U382" s="54" t="s">
        <v>3187</v>
      </c>
      <c r="V382" s="55">
        <v>43448</v>
      </c>
      <c r="W382" s="54"/>
      <c r="X382" s="54"/>
      <c r="Y382" s="54" t="s">
        <v>85</v>
      </c>
      <c r="Z382" s="54"/>
      <c r="AA382" s="54"/>
      <c r="AB382" s="54"/>
      <c r="AC382" s="58">
        <v>43456</v>
      </c>
      <c r="AD382" s="7"/>
      <c r="AE382" s="7"/>
      <c r="AF382" s="46"/>
      <c r="AG382" s="47"/>
      <c r="AH382" s="46"/>
      <c r="AI382" s="46"/>
    </row>
    <row r="383" spans="1:35" x14ac:dyDescent="0.25">
      <c r="A383" s="36">
        <v>376</v>
      </c>
      <c r="B383" s="37" t="s">
        <v>3188</v>
      </c>
      <c r="C383" s="38" t="s">
        <v>1059</v>
      </c>
      <c r="D383" s="39">
        <v>33650</v>
      </c>
      <c r="E383" s="38" t="s">
        <v>40</v>
      </c>
      <c r="F383" s="40" t="s">
        <v>48</v>
      </c>
      <c r="G383" s="38" t="s">
        <v>3189</v>
      </c>
      <c r="H383" s="38" t="s">
        <v>113</v>
      </c>
      <c r="I383" s="38" t="s">
        <v>114</v>
      </c>
      <c r="J383" s="41" t="s">
        <v>3190</v>
      </c>
      <c r="K383" s="41" t="s">
        <v>3191</v>
      </c>
      <c r="L383" s="41"/>
      <c r="M383" s="38" t="s">
        <v>99</v>
      </c>
      <c r="N383" s="43" t="s">
        <v>48</v>
      </c>
      <c r="O383" s="43"/>
      <c r="P383" s="43" t="s">
        <v>672</v>
      </c>
      <c r="Q383" s="41"/>
      <c r="R383" s="50" t="s">
        <v>3192</v>
      </c>
      <c r="S383" s="38" t="s">
        <v>3193</v>
      </c>
      <c r="T383" s="38"/>
      <c r="U383" s="38"/>
      <c r="V383" s="60">
        <v>43451</v>
      </c>
      <c r="W383" s="41" t="s">
        <v>3194</v>
      </c>
      <c r="X383" s="38">
        <v>1353</v>
      </c>
      <c r="Y383" s="38" t="s">
        <v>52</v>
      </c>
      <c r="Z383" s="38" t="s">
        <v>156</v>
      </c>
      <c r="AA383" s="38" t="s">
        <v>125</v>
      </c>
      <c r="AB383" s="38" t="s">
        <v>382</v>
      </c>
      <c r="AC383" s="45"/>
      <c r="AD383" s="7"/>
      <c r="AE383" s="7"/>
      <c r="AF383" s="46" t="str">
        <f>IF(R383="","",RIGHT(R383,LEN(R383)-FIND("@",R383)))</f>
        <v>gmail.com</v>
      </c>
      <c r="AG383" s="47">
        <f>LEN(R383)-LEN(SUBSTITUTE(R383," ",""))</f>
        <v>0</v>
      </c>
      <c r="AH383" s="46" t="str">
        <f>SUBSTITUTE(R383," ","")</f>
        <v>anggacb92@gmail.com</v>
      </c>
      <c r="AI383" s="46">
        <f>LEN(AH383)-LEN(SUBSTITUTE(AH383," ",""))</f>
        <v>0</v>
      </c>
    </row>
    <row r="384" spans="1:35" x14ac:dyDescent="0.25">
      <c r="A384" s="36">
        <v>377</v>
      </c>
      <c r="B384" s="53" t="s">
        <v>3195</v>
      </c>
      <c r="C384" s="54" t="s">
        <v>548</v>
      </c>
      <c r="D384" s="55">
        <v>34460</v>
      </c>
      <c r="E384" s="54" t="s">
        <v>95</v>
      </c>
      <c r="F384" s="69" t="s">
        <v>48</v>
      </c>
      <c r="G384" s="54" t="s">
        <v>3196</v>
      </c>
      <c r="H384" s="54" t="s">
        <v>113</v>
      </c>
      <c r="I384" s="54" t="s">
        <v>114</v>
      </c>
      <c r="J384" s="66" t="s">
        <v>3197</v>
      </c>
      <c r="K384" s="66" t="s">
        <v>3198</v>
      </c>
      <c r="L384" s="66"/>
      <c r="M384" s="54" t="s">
        <v>99</v>
      </c>
      <c r="N384" s="68" t="s">
        <v>3199</v>
      </c>
      <c r="O384" s="68" t="s">
        <v>76</v>
      </c>
      <c r="P384" s="68" t="s">
        <v>3200</v>
      </c>
      <c r="Q384" s="68" t="s">
        <v>3201</v>
      </c>
      <c r="R384" s="57" t="s">
        <v>3202</v>
      </c>
      <c r="S384" s="54" t="s">
        <v>3203</v>
      </c>
      <c r="T384" s="54" t="s">
        <v>463</v>
      </c>
      <c r="U384" s="54" t="s">
        <v>3204</v>
      </c>
      <c r="V384" s="72">
        <v>43451</v>
      </c>
      <c r="W384" s="66" t="s">
        <v>3205</v>
      </c>
      <c r="X384" s="54">
        <v>1352</v>
      </c>
      <c r="Y384" s="54" t="s">
        <v>85</v>
      </c>
      <c r="Z384" s="54" t="s">
        <v>172</v>
      </c>
      <c r="AA384" s="54" t="s">
        <v>125</v>
      </c>
      <c r="AB384" s="54" t="s">
        <v>173</v>
      </c>
      <c r="AC384" s="58">
        <v>44005</v>
      </c>
      <c r="AD384" s="7"/>
      <c r="AE384" s="7"/>
      <c r="AF384" s="46" t="str">
        <f>IF(R384="","",RIGHT(R384,LEN(R384)-FIND("@",R384)))</f>
        <v>gmail.com</v>
      </c>
      <c r="AG384" s="47">
        <f>LEN(R384)-LEN(SUBSTITUTE(R384," ",""))</f>
        <v>0</v>
      </c>
      <c r="AH384" s="46" t="str">
        <f>SUBSTITUTE(R384," ","")</f>
        <v>rismamentari26@gmail.com</v>
      </c>
      <c r="AI384" s="46">
        <f>LEN(AH384)-LEN(SUBSTITUTE(AH384," ",""))</f>
        <v>0</v>
      </c>
    </row>
    <row r="385" spans="1:35" x14ac:dyDescent="0.25">
      <c r="A385" s="36">
        <v>378</v>
      </c>
      <c r="B385" s="37" t="s">
        <v>3206</v>
      </c>
      <c r="C385" s="38" t="s">
        <v>94</v>
      </c>
      <c r="D385" s="39">
        <v>35309</v>
      </c>
      <c r="E385" s="38" t="s">
        <v>40</v>
      </c>
      <c r="F385" s="38" t="s">
        <v>304</v>
      </c>
      <c r="G385" s="38" t="s">
        <v>3207</v>
      </c>
      <c r="H385" s="38" t="s">
        <v>72</v>
      </c>
      <c r="I385" s="38" t="s">
        <v>114</v>
      </c>
      <c r="J385" s="41" t="s">
        <v>3208</v>
      </c>
      <c r="K385" s="41" t="s">
        <v>3209</v>
      </c>
      <c r="L385" s="41"/>
      <c r="M385" s="38" t="s">
        <v>99</v>
      </c>
      <c r="N385" s="41" t="s">
        <v>3210</v>
      </c>
      <c r="O385" s="41" t="s">
        <v>76</v>
      </c>
      <c r="P385" s="41" t="s">
        <v>3211</v>
      </c>
      <c r="Q385" s="41" t="s">
        <v>3212</v>
      </c>
      <c r="R385" s="50" t="s">
        <v>3213</v>
      </c>
      <c r="S385" s="38" t="s">
        <v>3214</v>
      </c>
      <c r="T385" s="38" t="s">
        <v>450</v>
      </c>
      <c r="U385" s="38" t="s">
        <v>3212</v>
      </c>
      <c r="V385" s="60">
        <v>43453</v>
      </c>
      <c r="W385" s="41" t="s">
        <v>3215</v>
      </c>
      <c r="X385" s="38">
        <v>1354</v>
      </c>
      <c r="Y385" s="38" t="s">
        <v>52</v>
      </c>
      <c r="Z385" s="38" t="s">
        <v>226</v>
      </c>
      <c r="AA385" s="38" t="s">
        <v>1640</v>
      </c>
      <c r="AB385" s="38" t="s">
        <v>55</v>
      </c>
      <c r="AC385" s="45"/>
      <c r="AD385" s="7"/>
      <c r="AE385" s="7"/>
      <c r="AF385" s="46" t="str">
        <f>IF(R385="","",RIGHT(R385,LEN(R385)-FIND("@",R385)))</f>
        <v>yahoo.com</v>
      </c>
      <c r="AG385" s="47">
        <f>LEN(R385)-LEN(SUBSTITUTE(R385," ",""))</f>
        <v>0</v>
      </c>
      <c r="AH385" s="46" t="str">
        <f>SUBSTITUTE(R385," ","")</f>
        <v>suryagunawanimsg@yahoo.com</v>
      </c>
      <c r="AI385" s="46">
        <f>LEN(AH385)-LEN(SUBSTITUTE(AH385," ",""))</f>
        <v>0</v>
      </c>
    </row>
    <row r="386" spans="1:35" x14ac:dyDescent="0.25">
      <c r="A386" s="36">
        <v>379</v>
      </c>
      <c r="B386" s="37" t="s">
        <v>3216</v>
      </c>
      <c r="C386" s="38" t="s">
        <v>94</v>
      </c>
      <c r="D386" s="39">
        <v>36606</v>
      </c>
      <c r="E386" s="38" t="s">
        <v>40</v>
      </c>
      <c r="F386" s="38" t="s">
        <v>304</v>
      </c>
      <c r="G386" s="38" t="s">
        <v>3217</v>
      </c>
      <c r="H386" s="38" t="s">
        <v>113</v>
      </c>
      <c r="I386" s="38" t="s">
        <v>114</v>
      </c>
      <c r="J386" s="38" t="s">
        <v>3218</v>
      </c>
      <c r="K386" s="38" t="s">
        <v>3219</v>
      </c>
      <c r="L386" s="38"/>
      <c r="M386" s="38" t="s">
        <v>99</v>
      </c>
      <c r="N386" s="43" t="s">
        <v>3220</v>
      </c>
      <c r="O386" s="43" t="s">
        <v>164</v>
      </c>
      <c r="P386" s="38" t="s">
        <v>1842</v>
      </c>
      <c r="Q386" s="38" t="s">
        <v>3221</v>
      </c>
      <c r="R386" s="50" t="s">
        <v>3222</v>
      </c>
      <c r="S386" s="38" t="s">
        <v>3223</v>
      </c>
      <c r="T386" s="38" t="s">
        <v>3224</v>
      </c>
      <c r="U386" s="38" t="s">
        <v>3225</v>
      </c>
      <c r="V386" s="60">
        <v>43458</v>
      </c>
      <c r="W386" s="65" t="s">
        <v>3226</v>
      </c>
      <c r="X386" s="38">
        <v>1355</v>
      </c>
      <c r="Y386" s="38" t="s">
        <v>52</v>
      </c>
      <c r="Z386" s="38" t="s">
        <v>396</v>
      </c>
      <c r="AA386" s="38" t="s">
        <v>1389</v>
      </c>
      <c r="AB386" s="38" t="s">
        <v>55</v>
      </c>
      <c r="AC386" s="45"/>
      <c r="AD386" s="7"/>
      <c r="AE386" s="7"/>
      <c r="AF386" s="46" t="str">
        <f>IF(R386="","",RIGHT(R386,LEN(R386)-FIND("@",R386)))</f>
        <v>gmail.com</v>
      </c>
      <c r="AG386" s="47">
        <f>LEN(R386)-LEN(SUBSTITUTE(R386," ",""))</f>
        <v>0</v>
      </c>
      <c r="AH386" s="46" t="str">
        <f>SUBSTITUTE(R386," ","")</f>
        <v>bagusadiwiranatha01@gmail.com</v>
      </c>
      <c r="AI386" s="46">
        <f>LEN(AH386)-LEN(SUBSTITUTE(AH386," ",""))</f>
        <v>0</v>
      </c>
    </row>
    <row r="387" spans="1:35" x14ac:dyDescent="0.25">
      <c r="A387" s="48">
        <v>380</v>
      </c>
      <c r="B387" s="53" t="s">
        <v>3227</v>
      </c>
      <c r="C387" s="54" t="s">
        <v>94</v>
      </c>
      <c r="D387" s="55">
        <v>36137</v>
      </c>
      <c r="E387" s="54" t="s">
        <v>40</v>
      </c>
      <c r="F387" s="54" t="s">
        <v>129</v>
      </c>
      <c r="G387" s="54" t="s">
        <v>3228</v>
      </c>
      <c r="H387" s="54" t="s">
        <v>113</v>
      </c>
      <c r="I387" s="54" t="s">
        <v>114</v>
      </c>
      <c r="J387" s="66" t="s">
        <v>3229</v>
      </c>
      <c r="K387" s="66" t="s">
        <v>3230</v>
      </c>
      <c r="L387" s="66"/>
      <c r="M387" s="54" t="s">
        <v>99</v>
      </c>
      <c r="N387" s="66" t="s">
        <v>3231</v>
      </c>
      <c r="O387" s="66" t="s">
        <v>164</v>
      </c>
      <c r="P387" s="66" t="s">
        <v>3232</v>
      </c>
      <c r="Q387" s="66" t="s">
        <v>3233</v>
      </c>
      <c r="R387" s="57" t="s">
        <v>3234</v>
      </c>
      <c r="S387" s="54" t="s">
        <v>3235</v>
      </c>
      <c r="T387" s="54" t="s">
        <v>1846</v>
      </c>
      <c r="U387" s="54" t="s">
        <v>3236</v>
      </c>
      <c r="V387" s="72">
        <v>43460</v>
      </c>
      <c r="W387" s="66" t="s">
        <v>3237</v>
      </c>
      <c r="X387" s="54">
        <v>1356</v>
      </c>
      <c r="Y387" s="54" t="s">
        <v>85</v>
      </c>
      <c r="Z387" s="54" t="s">
        <v>396</v>
      </c>
      <c r="AA387" s="54" t="s">
        <v>1389</v>
      </c>
      <c r="AB387" s="54" t="s">
        <v>55</v>
      </c>
      <c r="AC387" s="58">
        <v>44018</v>
      </c>
      <c r="AD387" s="7"/>
      <c r="AE387" s="7"/>
      <c r="AF387" s="46"/>
      <c r="AG387" s="47"/>
      <c r="AH387" s="46"/>
      <c r="AI387" s="46"/>
    </row>
    <row r="388" spans="1:35" x14ac:dyDescent="0.25">
      <c r="A388" s="36">
        <v>381</v>
      </c>
      <c r="B388" s="53" t="s">
        <v>3238</v>
      </c>
      <c r="C388" s="54" t="s">
        <v>94</v>
      </c>
      <c r="D388" s="55">
        <v>35733</v>
      </c>
      <c r="E388" s="54" t="s">
        <v>40</v>
      </c>
      <c r="F388" s="53"/>
      <c r="G388" s="54" t="s">
        <v>3239</v>
      </c>
      <c r="H388" s="54"/>
      <c r="I388" s="54"/>
      <c r="J388" s="54" t="s">
        <v>3240</v>
      </c>
      <c r="K388" s="54"/>
      <c r="L388" s="54"/>
      <c r="M388" s="54"/>
      <c r="N388" s="54"/>
      <c r="O388" s="54"/>
      <c r="P388" s="54"/>
      <c r="Q388" s="54" t="s">
        <v>3241</v>
      </c>
      <c r="R388" s="57" t="s">
        <v>74</v>
      </c>
      <c r="S388" s="54" t="s">
        <v>3239</v>
      </c>
      <c r="T388" s="54"/>
      <c r="U388" s="54" t="s">
        <v>3242</v>
      </c>
      <c r="V388" s="55">
        <v>43461</v>
      </c>
      <c r="W388" s="54"/>
      <c r="X388" s="54"/>
      <c r="Y388" s="54" t="s">
        <v>85</v>
      </c>
      <c r="Z388" s="54"/>
      <c r="AA388" s="54"/>
      <c r="AB388" s="54"/>
      <c r="AC388" s="58">
        <v>43525</v>
      </c>
      <c r="AD388" s="7"/>
      <c r="AE388" s="7"/>
      <c r="AF388" s="46"/>
      <c r="AG388" s="47"/>
      <c r="AH388" s="46"/>
      <c r="AI388" s="46"/>
    </row>
    <row r="389" spans="1:35" x14ac:dyDescent="0.25">
      <c r="A389" s="36">
        <v>382</v>
      </c>
      <c r="B389" s="53" t="s">
        <v>3243</v>
      </c>
      <c r="C389" s="54" t="s">
        <v>548</v>
      </c>
      <c r="D389" s="55">
        <v>35854</v>
      </c>
      <c r="E389" s="54" t="s">
        <v>95</v>
      </c>
      <c r="F389" s="53"/>
      <c r="G389" s="54" t="s">
        <v>3244</v>
      </c>
      <c r="H389" s="54"/>
      <c r="I389" s="54"/>
      <c r="J389" s="54" t="s">
        <v>3245</v>
      </c>
      <c r="K389" s="54"/>
      <c r="L389" s="54"/>
      <c r="M389" s="54" t="s">
        <v>99</v>
      </c>
      <c r="N389" s="54"/>
      <c r="O389" s="54"/>
      <c r="P389" s="54"/>
      <c r="Q389" s="54" t="s">
        <v>3246</v>
      </c>
      <c r="R389" s="57" t="s">
        <v>74</v>
      </c>
      <c r="S389" s="54" t="s">
        <v>3247</v>
      </c>
      <c r="T389" s="54"/>
      <c r="U389" s="54" t="s">
        <v>3248</v>
      </c>
      <c r="V389" s="55">
        <v>43466</v>
      </c>
      <c r="W389" s="54"/>
      <c r="X389" s="54"/>
      <c r="Y389" s="54" t="s">
        <v>85</v>
      </c>
      <c r="Z389" s="54"/>
      <c r="AA389" s="54"/>
      <c r="AB389" s="54"/>
      <c r="AC389" s="58">
        <v>43585</v>
      </c>
      <c r="AD389" s="7"/>
      <c r="AE389" s="7"/>
      <c r="AF389" s="46"/>
      <c r="AG389" s="47"/>
      <c r="AH389" s="46"/>
      <c r="AI389" s="46"/>
    </row>
    <row r="390" spans="1:35" x14ac:dyDescent="0.25">
      <c r="A390" s="36">
        <v>383</v>
      </c>
      <c r="B390" s="53" t="s">
        <v>3249</v>
      </c>
      <c r="C390" s="54" t="s">
        <v>3250</v>
      </c>
      <c r="D390" s="55">
        <v>34433</v>
      </c>
      <c r="E390" s="54" t="s">
        <v>95</v>
      </c>
      <c r="F390" s="53"/>
      <c r="G390" s="54" t="s">
        <v>3251</v>
      </c>
      <c r="H390" s="54"/>
      <c r="I390" s="54"/>
      <c r="J390" s="54" t="s">
        <v>3252</v>
      </c>
      <c r="K390" s="54"/>
      <c r="L390" s="54"/>
      <c r="M390" s="54" t="s">
        <v>99</v>
      </c>
      <c r="N390" s="54"/>
      <c r="O390" s="54"/>
      <c r="P390" s="54"/>
      <c r="Q390" s="54" t="s">
        <v>3253</v>
      </c>
      <c r="R390" s="57" t="s">
        <v>74</v>
      </c>
      <c r="S390" s="54" t="s">
        <v>3254</v>
      </c>
      <c r="T390" s="54"/>
      <c r="U390" s="54" t="s">
        <v>3255</v>
      </c>
      <c r="V390" s="55">
        <v>43474</v>
      </c>
      <c r="W390" s="54"/>
      <c r="X390" s="54"/>
      <c r="Y390" s="54" t="s">
        <v>85</v>
      </c>
      <c r="Z390" s="54"/>
      <c r="AA390" s="54"/>
      <c r="AB390" s="54"/>
      <c r="AC390" s="58" t="s">
        <v>3256</v>
      </c>
      <c r="AD390" s="7"/>
      <c r="AE390" s="7"/>
      <c r="AF390" s="46"/>
      <c r="AG390" s="47"/>
      <c r="AH390" s="46"/>
      <c r="AI390" s="46"/>
    </row>
    <row r="391" spans="1:35" x14ac:dyDescent="0.25">
      <c r="A391" s="36">
        <v>384</v>
      </c>
      <c r="B391" s="53" t="s">
        <v>3257</v>
      </c>
      <c r="C391" s="54" t="s">
        <v>3094</v>
      </c>
      <c r="D391" s="55">
        <v>35430</v>
      </c>
      <c r="E391" s="54" t="s">
        <v>40</v>
      </c>
      <c r="F391" s="69" t="s">
        <v>48</v>
      </c>
      <c r="G391" s="54" t="s">
        <v>3258</v>
      </c>
      <c r="H391" s="54" t="s">
        <v>113</v>
      </c>
      <c r="I391" s="54" t="s">
        <v>114</v>
      </c>
      <c r="J391" s="66" t="s">
        <v>3259</v>
      </c>
      <c r="K391" s="66" t="s">
        <v>3260</v>
      </c>
      <c r="L391" s="66"/>
      <c r="M391" s="54" t="s">
        <v>99</v>
      </c>
      <c r="N391" s="66" t="s">
        <v>3261</v>
      </c>
      <c r="O391" s="66" t="s">
        <v>76</v>
      </c>
      <c r="P391" s="66" t="s">
        <v>3262</v>
      </c>
      <c r="Q391" s="68" t="s">
        <v>3263</v>
      </c>
      <c r="R391" s="57" t="s">
        <v>3264</v>
      </c>
      <c r="S391" s="54" t="s">
        <v>3265</v>
      </c>
      <c r="T391" s="54" t="s">
        <v>1161</v>
      </c>
      <c r="U391" s="54" t="s">
        <v>3266</v>
      </c>
      <c r="V391" s="72">
        <v>43475</v>
      </c>
      <c r="W391" s="66" t="s">
        <v>3267</v>
      </c>
      <c r="X391" s="54">
        <v>1364</v>
      </c>
      <c r="Y391" s="54" t="s">
        <v>85</v>
      </c>
      <c r="Z391" s="54" t="s">
        <v>156</v>
      </c>
      <c r="AA391" s="54" t="s">
        <v>125</v>
      </c>
      <c r="AB391" s="54" t="s">
        <v>641</v>
      </c>
      <c r="AC391" s="58">
        <v>44005</v>
      </c>
      <c r="AD391" s="7"/>
      <c r="AE391" s="7"/>
      <c r="AF391" s="46" t="str">
        <f>IF(R391="","",RIGHT(R391,LEN(R391)-FIND("@",R391)))</f>
        <v>gmail.com</v>
      </c>
      <c r="AG391" s="47">
        <f>LEN(R391)-LEN(SUBSTITUTE(R391," ",""))</f>
        <v>0</v>
      </c>
      <c r="AH391" s="46" t="str">
        <f>SUBSTITUTE(R391," ","")</f>
        <v>wadiindra834@gmail.com</v>
      </c>
      <c r="AI391" s="46">
        <f>LEN(AH391)-LEN(SUBSTITUTE(AH391," ",""))</f>
        <v>0</v>
      </c>
    </row>
    <row r="392" spans="1:35" x14ac:dyDescent="0.25">
      <c r="A392" s="36">
        <v>385</v>
      </c>
      <c r="B392" s="37" t="s">
        <v>3268</v>
      </c>
      <c r="C392" s="38" t="s">
        <v>328</v>
      </c>
      <c r="D392" s="39">
        <v>34241</v>
      </c>
      <c r="E392" s="38" t="s">
        <v>95</v>
      </c>
      <c r="F392" s="38" t="s">
        <v>48</v>
      </c>
      <c r="G392" s="38" t="s">
        <v>3269</v>
      </c>
      <c r="H392" s="38" t="s">
        <v>113</v>
      </c>
      <c r="I392" s="38" t="s">
        <v>44</v>
      </c>
      <c r="J392" s="41" t="s">
        <v>3270</v>
      </c>
      <c r="K392" s="41" t="s">
        <v>3271</v>
      </c>
      <c r="L392" s="41"/>
      <c r="M392" s="38" t="s">
        <v>99</v>
      </c>
      <c r="N392" s="43" t="s">
        <v>48</v>
      </c>
      <c r="O392" s="43"/>
      <c r="P392" s="63" t="s">
        <v>3272</v>
      </c>
      <c r="Q392" s="41" t="s">
        <v>3273</v>
      </c>
      <c r="R392" s="50" t="s">
        <v>3274</v>
      </c>
      <c r="S392" s="38" t="s">
        <v>3275</v>
      </c>
      <c r="T392" s="38" t="s">
        <v>242</v>
      </c>
      <c r="U392" s="38" t="s">
        <v>3276</v>
      </c>
      <c r="V392" s="60">
        <v>43479</v>
      </c>
      <c r="W392" s="41" t="s">
        <v>3277</v>
      </c>
      <c r="X392" s="38">
        <v>1229</v>
      </c>
      <c r="Y392" s="38" t="s">
        <v>52</v>
      </c>
      <c r="Z392" s="38" t="s">
        <v>172</v>
      </c>
      <c r="AA392" s="38" t="s">
        <v>125</v>
      </c>
      <c r="AB392" s="38" t="s">
        <v>193</v>
      </c>
      <c r="AC392" s="45"/>
      <c r="AD392" s="7"/>
      <c r="AE392" s="7"/>
      <c r="AF392" s="46"/>
      <c r="AG392" s="47"/>
      <c r="AH392" s="46"/>
      <c r="AI392" s="46"/>
    </row>
    <row r="393" spans="1:35" x14ac:dyDescent="0.25">
      <c r="A393" s="48">
        <v>386</v>
      </c>
      <c r="B393" s="37" t="s">
        <v>3278</v>
      </c>
      <c r="C393" s="38" t="s">
        <v>3279</v>
      </c>
      <c r="D393" s="39">
        <v>36119</v>
      </c>
      <c r="E393" s="38" t="s">
        <v>95</v>
      </c>
      <c r="F393" s="38" t="s">
        <v>3280</v>
      </c>
      <c r="G393" s="38" t="s">
        <v>3281</v>
      </c>
      <c r="H393" s="38" t="s">
        <v>72</v>
      </c>
      <c r="I393" s="38" t="s">
        <v>114</v>
      </c>
      <c r="J393" s="41" t="s">
        <v>3282</v>
      </c>
      <c r="K393" s="41" t="s">
        <v>3283</v>
      </c>
      <c r="L393" s="41"/>
      <c r="M393" s="38" t="s">
        <v>99</v>
      </c>
      <c r="N393" s="43" t="s">
        <v>3284</v>
      </c>
      <c r="O393" s="43" t="s">
        <v>147</v>
      </c>
      <c r="P393" s="41" t="s">
        <v>3285</v>
      </c>
      <c r="Q393" s="41" t="s">
        <v>3286</v>
      </c>
      <c r="R393" s="50" t="s">
        <v>3287</v>
      </c>
      <c r="S393" s="38" t="s">
        <v>3288</v>
      </c>
      <c r="T393" s="38" t="s">
        <v>3289</v>
      </c>
      <c r="U393" s="40" t="s">
        <v>3290</v>
      </c>
      <c r="V393" s="60">
        <v>43480</v>
      </c>
      <c r="W393" s="41" t="s">
        <v>3291</v>
      </c>
      <c r="X393" s="38">
        <v>1363</v>
      </c>
      <c r="Y393" s="38" t="s">
        <v>52</v>
      </c>
      <c r="Z393" s="38" t="s">
        <v>172</v>
      </c>
      <c r="AA393" s="38" t="s">
        <v>125</v>
      </c>
      <c r="AB393" s="38" t="s">
        <v>1213</v>
      </c>
      <c r="AC393" s="45"/>
      <c r="AD393" s="7"/>
      <c r="AE393" s="7"/>
      <c r="AF393" s="46"/>
      <c r="AG393" s="47"/>
      <c r="AH393" s="46"/>
      <c r="AI393" s="46"/>
    </row>
    <row r="394" spans="1:35" x14ac:dyDescent="0.25">
      <c r="A394" s="36">
        <v>387</v>
      </c>
      <c r="B394" s="53" t="s">
        <v>3292</v>
      </c>
      <c r="C394" s="54" t="s">
        <v>1059</v>
      </c>
      <c r="D394" s="55">
        <v>33132</v>
      </c>
      <c r="E394" s="54" t="s">
        <v>40</v>
      </c>
      <c r="F394" s="53"/>
      <c r="G394" s="54" t="s">
        <v>3293</v>
      </c>
      <c r="H394" s="54"/>
      <c r="I394" s="54"/>
      <c r="J394" s="54" t="s">
        <v>3294</v>
      </c>
      <c r="K394" s="54"/>
      <c r="L394" s="54"/>
      <c r="M394" s="54"/>
      <c r="N394" s="54"/>
      <c r="O394" s="54"/>
      <c r="P394" s="54"/>
      <c r="Q394" s="54" t="s">
        <v>3295</v>
      </c>
      <c r="R394" s="57" t="s">
        <v>74</v>
      </c>
      <c r="S394" s="54" t="s">
        <v>3296</v>
      </c>
      <c r="T394" s="54"/>
      <c r="U394" s="54" t="s">
        <v>3297</v>
      </c>
      <c r="V394" s="55">
        <v>43480</v>
      </c>
      <c r="W394" s="54"/>
      <c r="X394" s="54"/>
      <c r="Y394" s="54" t="s">
        <v>85</v>
      </c>
      <c r="Z394" s="54"/>
      <c r="AA394" s="54"/>
      <c r="AB394" s="54"/>
      <c r="AC394" s="58">
        <v>43617</v>
      </c>
      <c r="AD394" s="7"/>
      <c r="AE394" s="7"/>
      <c r="AF394" s="46" t="str">
        <f>IF(R394="","",RIGHT(R394,LEN(R394)-FIND("@",R394)))</f>
        <v/>
      </c>
      <c r="AG394" s="47">
        <f>LEN(R394)-LEN(SUBSTITUTE(R394," ",""))</f>
        <v>0</v>
      </c>
      <c r="AH394" s="46" t="str">
        <f>SUBSTITUTE(R394," ","")</f>
        <v/>
      </c>
      <c r="AI394" s="46">
        <f>LEN(AH394)-LEN(SUBSTITUTE(AH394," ",""))</f>
        <v>0</v>
      </c>
    </row>
    <row r="395" spans="1:35" x14ac:dyDescent="0.25">
      <c r="A395" s="36">
        <v>388</v>
      </c>
      <c r="B395" s="53" t="s">
        <v>3298</v>
      </c>
      <c r="C395" s="54" t="s">
        <v>94</v>
      </c>
      <c r="D395" s="55">
        <v>34672</v>
      </c>
      <c r="E395" s="54" t="s">
        <v>40</v>
      </c>
      <c r="F395" s="53"/>
      <c r="G395" s="54" t="s">
        <v>3299</v>
      </c>
      <c r="H395" s="54"/>
      <c r="I395" s="54"/>
      <c r="J395" s="54" t="s">
        <v>3300</v>
      </c>
      <c r="K395" s="54"/>
      <c r="L395" s="54"/>
      <c r="M395" s="54"/>
      <c r="N395" s="54"/>
      <c r="O395" s="54"/>
      <c r="P395" s="54"/>
      <c r="Q395" s="54" t="s">
        <v>3301</v>
      </c>
      <c r="R395" s="57" t="s">
        <v>74</v>
      </c>
      <c r="S395" s="54" t="s">
        <v>3299</v>
      </c>
      <c r="T395" s="54"/>
      <c r="U395" s="54" t="s">
        <v>3302</v>
      </c>
      <c r="V395" s="55">
        <v>43480</v>
      </c>
      <c r="W395" s="54"/>
      <c r="X395" s="54"/>
      <c r="Y395" s="54" t="s">
        <v>85</v>
      </c>
      <c r="Z395" s="54"/>
      <c r="AA395" s="54"/>
      <c r="AB395" s="54"/>
      <c r="AC395" s="58">
        <v>43831</v>
      </c>
      <c r="AD395" s="7"/>
      <c r="AE395" s="77"/>
      <c r="AF395" s="46" t="str">
        <f>IF(R395="","",RIGHT(R395,LEN(R395)-FIND("@",R395)))</f>
        <v/>
      </c>
      <c r="AG395" s="47">
        <f>LEN(R395)-LEN(SUBSTITUTE(R395," ",""))</f>
        <v>0</v>
      </c>
      <c r="AH395" s="46" t="str">
        <f>SUBSTITUTE(R395," ","")</f>
        <v/>
      </c>
      <c r="AI395" s="46">
        <f>LEN(AH395)-LEN(SUBSTITUTE(AH395," ",""))</f>
        <v>0</v>
      </c>
    </row>
    <row r="396" spans="1:35" x14ac:dyDescent="0.25">
      <c r="A396" s="36">
        <v>389</v>
      </c>
      <c r="B396" s="37" t="s">
        <v>3303</v>
      </c>
      <c r="C396" s="38" t="s">
        <v>3304</v>
      </c>
      <c r="D396" s="39">
        <v>35358</v>
      </c>
      <c r="E396" s="38" t="s">
        <v>40</v>
      </c>
      <c r="F396" s="38" t="s">
        <v>48</v>
      </c>
      <c r="G396" s="38" t="s">
        <v>3305</v>
      </c>
      <c r="H396" s="38" t="s">
        <v>510</v>
      </c>
      <c r="I396" s="38" t="s">
        <v>114</v>
      </c>
      <c r="J396" s="41" t="s">
        <v>3306</v>
      </c>
      <c r="K396" s="41" t="s">
        <v>3307</v>
      </c>
      <c r="L396" s="43"/>
      <c r="M396" s="38" t="s">
        <v>99</v>
      </c>
      <c r="N396" s="43" t="s">
        <v>3308</v>
      </c>
      <c r="O396" s="43" t="s">
        <v>76</v>
      </c>
      <c r="P396" s="41" t="s">
        <v>3309</v>
      </c>
      <c r="Q396" s="41" t="s">
        <v>3310</v>
      </c>
      <c r="R396" s="50" t="s">
        <v>3311</v>
      </c>
      <c r="S396" s="38" t="s">
        <v>3312</v>
      </c>
      <c r="T396" s="38" t="s">
        <v>927</v>
      </c>
      <c r="U396" s="38" t="s">
        <v>3313</v>
      </c>
      <c r="V396" s="60">
        <v>43481</v>
      </c>
      <c r="W396" s="41" t="s">
        <v>3314</v>
      </c>
      <c r="X396" s="38">
        <v>1365</v>
      </c>
      <c r="Y396" s="38" t="s">
        <v>52</v>
      </c>
      <c r="Z396" s="38" t="s">
        <v>1816</v>
      </c>
      <c r="AA396" s="38" t="s">
        <v>777</v>
      </c>
      <c r="AB396" s="38" t="s">
        <v>778</v>
      </c>
      <c r="AC396" s="45"/>
      <c r="AD396" s="7"/>
      <c r="AE396" s="7"/>
      <c r="AF396" s="46" t="str">
        <f>IF(R396="","",RIGHT(R396,LEN(R396)-FIND("@",R396)))</f>
        <v>gmail.com</v>
      </c>
      <c r="AG396" s="47">
        <f>LEN(R396)-LEN(SUBSTITUTE(R396," ",""))</f>
        <v>0</v>
      </c>
      <c r="AH396" s="46" t="str">
        <f>SUBSTITUTE(R396," ","")</f>
        <v>talisnasa96@gmail.com</v>
      </c>
      <c r="AI396" s="46">
        <f>LEN(AH396)-LEN(SUBSTITUTE(AH396," ",""))</f>
        <v>0</v>
      </c>
    </row>
    <row r="397" spans="1:35" x14ac:dyDescent="0.25">
      <c r="A397" s="36">
        <v>390</v>
      </c>
      <c r="B397" s="37" t="s">
        <v>3315</v>
      </c>
      <c r="C397" s="38" t="s">
        <v>548</v>
      </c>
      <c r="D397" s="39">
        <v>35596</v>
      </c>
      <c r="E397" s="38" t="s">
        <v>40</v>
      </c>
      <c r="F397" s="38" t="s">
        <v>48</v>
      </c>
      <c r="G397" s="38" t="s">
        <v>3316</v>
      </c>
      <c r="H397" s="38" t="s">
        <v>113</v>
      </c>
      <c r="I397" s="38" t="s">
        <v>44</v>
      </c>
      <c r="J397" s="41" t="s">
        <v>3317</v>
      </c>
      <c r="K397" s="41" t="s">
        <v>3318</v>
      </c>
      <c r="L397" s="43"/>
      <c r="M397" s="38" t="s">
        <v>99</v>
      </c>
      <c r="N397" s="43" t="s">
        <v>48</v>
      </c>
      <c r="O397" s="43"/>
      <c r="P397" s="43" t="s">
        <v>3319</v>
      </c>
      <c r="Q397" s="41"/>
      <c r="R397" s="50" t="s">
        <v>3320</v>
      </c>
      <c r="S397" s="38" t="s">
        <v>3321</v>
      </c>
      <c r="T397" s="38"/>
      <c r="U397" s="38"/>
      <c r="V397" s="60">
        <v>43483</v>
      </c>
      <c r="W397" s="41" t="s">
        <v>3322</v>
      </c>
      <c r="X397" s="38">
        <v>1366</v>
      </c>
      <c r="Y397" s="38" t="s">
        <v>52</v>
      </c>
      <c r="Z397" s="38" t="s">
        <v>898</v>
      </c>
      <c r="AA397" s="38" t="s">
        <v>777</v>
      </c>
      <c r="AB397" s="38" t="s">
        <v>778</v>
      </c>
      <c r="AC397" s="45"/>
      <c r="AD397" s="7"/>
      <c r="AE397" s="7"/>
      <c r="AF397" s="46" t="str">
        <f>IF(R397="","",RIGHT(R397,LEN(R397)-FIND("@",R397)))</f>
        <v>gmail.com</v>
      </c>
      <c r="AG397" s="47">
        <f>LEN(R397)-LEN(SUBSTITUTE(R397," ",""))</f>
        <v>0</v>
      </c>
      <c r="AH397" s="46" t="str">
        <f>SUBSTITUTE(R397," ","")</f>
        <v>dodyprayogo5@gmail.com</v>
      </c>
      <c r="AI397" s="46">
        <f>LEN(AH397)-LEN(SUBSTITUTE(AH397," ",""))</f>
        <v>0</v>
      </c>
    </row>
    <row r="398" spans="1:35" x14ac:dyDescent="0.25">
      <c r="A398" s="36">
        <v>391</v>
      </c>
      <c r="B398" s="37" t="s">
        <v>3323</v>
      </c>
      <c r="C398" s="38" t="s">
        <v>2342</v>
      </c>
      <c r="D398" s="39">
        <v>34176</v>
      </c>
      <c r="E398" s="38" t="s">
        <v>40</v>
      </c>
      <c r="F398" s="40" t="s">
        <v>48</v>
      </c>
      <c r="G398" s="38" t="s">
        <v>3324</v>
      </c>
      <c r="H398" s="38" t="s">
        <v>113</v>
      </c>
      <c r="I398" s="38" t="s">
        <v>44</v>
      </c>
      <c r="J398" s="41" t="s">
        <v>3325</v>
      </c>
      <c r="K398" s="41" t="s">
        <v>3326</v>
      </c>
      <c r="L398" s="43"/>
      <c r="M398" s="38" t="s">
        <v>133</v>
      </c>
      <c r="N398" s="43" t="s">
        <v>3327</v>
      </c>
      <c r="O398" s="43" t="s">
        <v>428</v>
      </c>
      <c r="P398" s="41" t="s">
        <v>3328</v>
      </c>
      <c r="Q398" s="41" t="s">
        <v>3329</v>
      </c>
      <c r="R398" s="50" t="s">
        <v>3330</v>
      </c>
      <c r="S398" s="38" t="s">
        <v>3331</v>
      </c>
      <c r="T398" s="38" t="s">
        <v>65</v>
      </c>
      <c r="U398" s="38" t="s">
        <v>3332</v>
      </c>
      <c r="V398" s="88">
        <v>43486</v>
      </c>
      <c r="W398" s="41" t="s">
        <v>3333</v>
      </c>
      <c r="X398" s="38">
        <v>1367</v>
      </c>
      <c r="Y398" s="38" t="s">
        <v>52</v>
      </c>
      <c r="Z398" s="38" t="s">
        <v>156</v>
      </c>
      <c r="AA398" s="38" t="s">
        <v>125</v>
      </c>
      <c r="AB398" s="38" t="s">
        <v>994</v>
      </c>
      <c r="AC398" s="45"/>
      <c r="AD398" s="7"/>
      <c r="AE398" s="7"/>
      <c r="AF398" s="46" t="str">
        <f>IF(R398="","",RIGHT(R398,LEN(R398)-FIND("@",R398)))</f>
        <v>gmail.com</v>
      </c>
      <c r="AG398" s="47">
        <f>LEN(R398)-LEN(SUBSTITUTE(R398," ",""))</f>
        <v>0</v>
      </c>
      <c r="AH398" s="46" t="str">
        <f>SUBSTITUTE(R398," ","")</f>
        <v>embuunbekuu@gmail.com</v>
      </c>
      <c r="AI398" s="46">
        <f>LEN(AH398)-LEN(SUBSTITUTE(AH398," ",""))</f>
        <v>0</v>
      </c>
    </row>
    <row r="399" spans="1:35" x14ac:dyDescent="0.25">
      <c r="A399" s="48">
        <v>392</v>
      </c>
      <c r="B399" s="37" t="s">
        <v>3334</v>
      </c>
      <c r="C399" s="38" t="s">
        <v>982</v>
      </c>
      <c r="D399" s="39">
        <v>35994</v>
      </c>
      <c r="E399" s="38" t="s">
        <v>40</v>
      </c>
      <c r="F399" s="40" t="s">
        <v>48</v>
      </c>
      <c r="G399" s="38" t="s">
        <v>3335</v>
      </c>
      <c r="H399" s="38" t="s">
        <v>113</v>
      </c>
      <c r="I399" s="38" t="s">
        <v>114</v>
      </c>
      <c r="J399" s="41" t="s">
        <v>3336</v>
      </c>
      <c r="K399" s="41" t="s">
        <v>3337</v>
      </c>
      <c r="L399" s="43"/>
      <c r="M399" s="38" t="s">
        <v>99</v>
      </c>
      <c r="N399" s="41" t="s">
        <v>3338</v>
      </c>
      <c r="O399" s="41" t="s">
        <v>428</v>
      </c>
      <c r="P399" s="41" t="s">
        <v>3339</v>
      </c>
      <c r="Q399" s="41" t="s">
        <v>3340</v>
      </c>
      <c r="R399" s="50" t="s">
        <v>3341</v>
      </c>
      <c r="S399" s="38" t="s">
        <v>990</v>
      </c>
      <c r="T399" s="38" t="s">
        <v>65</v>
      </c>
      <c r="U399" s="38" t="s">
        <v>3342</v>
      </c>
      <c r="V399" s="60">
        <v>43486</v>
      </c>
      <c r="W399" s="41" t="s">
        <v>3343</v>
      </c>
      <c r="X399" s="38">
        <v>1368</v>
      </c>
      <c r="Y399" s="38" t="s">
        <v>52</v>
      </c>
      <c r="Z399" s="38" t="s">
        <v>156</v>
      </c>
      <c r="AA399" s="38" t="s">
        <v>125</v>
      </c>
      <c r="AB399" s="38" t="s">
        <v>994</v>
      </c>
      <c r="AC399" s="45"/>
      <c r="AD399" s="7"/>
      <c r="AE399" s="7"/>
      <c r="AF399" s="46"/>
      <c r="AG399" s="47"/>
      <c r="AH399" s="46"/>
      <c r="AI399" s="46"/>
    </row>
    <row r="400" spans="1:35" x14ac:dyDescent="0.25">
      <c r="A400" s="36">
        <v>393</v>
      </c>
      <c r="B400" s="37" t="s">
        <v>3344</v>
      </c>
      <c r="C400" s="38" t="s">
        <v>3345</v>
      </c>
      <c r="D400" s="39">
        <v>36664</v>
      </c>
      <c r="E400" s="38" t="s">
        <v>40</v>
      </c>
      <c r="F400" s="40" t="s">
        <v>48</v>
      </c>
      <c r="G400" s="38" t="s">
        <v>3346</v>
      </c>
      <c r="H400" s="38" t="s">
        <v>72</v>
      </c>
      <c r="I400" s="38" t="s">
        <v>114</v>
      </c>
      <c r="J400" s="41" t="s">
        <v>3347</v>
      </c>
      <c r="K400" s="41" t="s">
        <v>3348</v>
      </c>
      <c r="L400" s="43"/>
      <c r="M400" s="38" t="s">
        <v>99</v>
      </c>
      <c r="N400" s="43" t="s">
        <v>3349</v>
      </c>
      <c r="O400" s="43" t="s">
        <v>428</v>
      </c>
      <c r="P400" s="41" t="s">
        <v>3350</v>
      </c>
      <c r="Q400" s="41" t="s">
        <v>3351</v>
      </c>
      <c r="R400" s="50" t="s">
        <v>3352</v>
      </c>
      <c r="S400" s="38" t="s">
        <v>3353</v>
      </c>
      <c r="T400" s="38" t="s">
        <v>65</v>
      </c>
      <c r="U400" s="38" t="s">
        <v>3354</v>
      </c>
      <c r="V400" s="60">
        <v>43486</v>
      </c>
      <c r="W400" s="41" t="s">
        <v>3355</v>
      </c>
      <c r="X400" s="38">
        <v>1370</v>
      </c>
      <c r="Y400" s="38" t="s">
        <v>52</v>
      </c>
      <c r="Z400" s="38" t="s">
        <v>156</v>
      </c>
      <c r="AA400" s="38" t="s">
        <v>125</v>
      </c>
      <c r="AB400" s="38" t="s">
        <v>994</v>
      </c>
      <c r="AC400" s="45"/>
      <c r="AD400" s="7"/>
      <c r="AE400" s="7"/>
      <c r="AF400" s="46"/>
      <c r="AG400" s="47"/>
      <c r="AH400" s="46"/>
      <c r="AI400" s="46"/>
    </row>
    <row r="401" spans="1:35" x14ac:dyDescent="0.25">
      <c r="A401" s="36">
        <v>394</v>
      </c>
      <c r="B401" s="53" t="s">
        <v>3356</v>
      </c>
      <c r="C401" s="54" t="s">
        <v>3357</v>
      </c>
      <c r="D401" s="55">
        <v>35577</v>
      </c>
      <c r="E401" s="54" t="s">
        <v>95</v>
      </c>
      <c r="F401" s="53"/>
      <c r="G401" s="54" t="s">
        <v>3358</v>
      </c>
      <c r="H401" s="54"/>
      <c r="I401" s="54"/>
      <c r="J401" s="54" t="s">
        <v>3359</v>
      </c>
      <c r="K401" s="54"/>
      <c r="L401" s="54"/>
      <c r="M401" s="54" t="s">
        <v>99</v>
      </c>
      <c r="N401" s="54"/>
      <c r="O401" s="54"/>
      <c r="P401" s="54"/>
      <c r="Q401" s="54" t="s">
        <v>3360</v>
      </c>
      <c r="R401" s="57" t="s">
        <v>74</v>
      </c>
      <c r="S401" s="54" t="s">
        <v>3358</v>
      </c>
      <c r="T401" s="54"/>
      <c r="U401" s="54" t="s">
        <v>3361</v>
      </c>
      <c r="V401" s="55">
        <v>43486</v>
      </c>
      <c r="W401" s="54"/>
      <c r="X401" s="54"/>
      <c r="Y401" s="54" t="s">
        <v>85</v>
      </c>
      <c r="Z401" s="54"/>
      <c r="AA401" s="54"/>
      <c r="AB401" s="54"/>
      <c r="AC401" s="58">
        <v>43800</v>
      </c>
      <c r="AD401" s="7"/>
      <c r="AE401" s="7"/>
      <c r="AF401" s="46"/>
      <c r="AG401" s="47"/>
      <c r="AH401" s="46"/>
      <c r="AI401" s="46"/>
    </row>
    <row r="402" spans="1:35" x14ac:dyDescent="0.25">
      <c r="A402" s="36">
        <v>395</v>
      </c>
      <c r="B402" s="37" t="s">
        <v>3362</v>
      </c>
      <c r="C402" s="38" t="s">
        <v>548</v>
      </c>
      <c r="D402" s="39">
        <v>36443</v>
      </c>
      <c r="E402" s="38" t="s">
        <v>40</v>
      </c>
      <c r="F402" s="40" t="s">
        <v>48</v>
      </c>
      <c r="G402" s="38" t="s">
        <v>3363</v>
      </c>
      <c r="H402" s="38" t="s">
        <v>113</v>
      </c>
      <c r="I402" s="38" t="s">
        <v>114</v>
      </c>
      <c r="J402" s="41" t="s">
        <v>3364</v>
      </c>
      <c r="K402" s="41" t="s">
        <v>3365</v>
      </c>
      <c r="L402" s="43"/>
      <c r="M402" s="38" t="s">
        <v>99</v>
      </c>
      <c r="N402" s="43" t="s">
        <v>3366</v>
      </c>
      <c r="O402" s="43" t="s">
        <v>76</v>
      </c>
      <c r="P402" s="41" t="s">
        <v>3367</v>
      </c>
      <c r="Q402" s="43" t="s">
        <v>3368</v>
      </c>
      <c r="R402" s="50" t="s">
        <v>3369</v>
      </c>
      <c r="S402" s="38" t="s">
        <v>3370</v>
      </c>
      <c r="T402" s="38" t="s">
        <v>65</v>
      </c>
      <c r="U402" s="38" t="s">
        <v>3371</v>
      </c>
      <c r="V402" s="60">
        <v>43488</v>
      </c>
      <c r="W402" s="41" t="s">
        <v>3372</v>
      </c>
      <c r="X402" s="38">
        <v>1374</v>
      </c>
      <c r="Y402" s="38" t="s">
        <v>52</v>
      </c>
      <c r="Z402" s="38" t="s">
        <v>226</v>
      </c>
      <c r="AA402" s="38" t="s">
        <v>125</v>
      </c>
      <c r="AB402" s="38" t="s">
        <v>931</v>
      </c>
      <c r="AC402" s="45"/>
      <c r="AD402" s="7"/>
      <c r="AE402" s="7"/>
      <c r="AF402" s="46" t="str">
        <f>IF(R402="","",RIGHT(R402,LEN(R402)-FIND("@",R402)))</f>
        <v>gmail.com</v>
      </c>
      <c r="AG402" s="47">
        <f>LEN(R402)-LEN(SUBSTITUTE(R402," ",""))</f>
        <v>0</v>
      </c>
      <c r="AH402" s="46" t="str">
        <f>SUBSTITUTE(R402," ","")</f>
        <v>muhamadwaluyo765@gmail.com</v>
      </c>
      <c r="AI402" s="46">
        <f>LEN(AH402)-LEN(SUBSTITUTE(AH402," ",""))</f>
        <v>0</v>
      </c>
    </row>
    <row r="403" spans="1:35" x14ac:dyDescent="0.25">
      <c r="A403" s="36">
        <v>396</v>
      </c>
      <c r="B403" s="37" t="s">
        <v>3373</v>
      </c>
      <c r="C403" s="38" t="s">
        <v>328</v>
      </c>
      <c r="D403" s="39">
        <v>35199</v>
      </c>
      <c r="E403" s="38" t="s">
        <v>40</v>
      </c>
      <c r="F403" s="40" t="s">
        <v>48</v>
      </c>
      <c r="G403" s="38" t="s">
        <v>3374</v>
      </c>
      <c r="H403" s="38" t="s">
        <v>113</v>
      </c>
      <c r="I403" s="38" t="s">
        <v>114</v>
      </c>
      <c r="J403" s="41" t="s">
        <v>3375</v>
      </c>
      <c r="K403" s="41"/>
      <c r="L403" s="41"/>
      <c r="M403" s="38" t="s">
        <v>99</v>
      </c>
      <c r="N403" s="41" t="s">
        <v>3376</v>
      </c>
      <c r="O403" s="43" t="s">
        <v>76</v>
      </c>
      <c r="P403" s="41" t="s">
        <v>3377</v>
      </c>
      <c r="Q403" s="41" t="s">
        <v>3378</v>
      </c>
      <c r="R403" s="50" t="s">
        <v>3379</v>
      </c>
      <c r="S403" s="38" t="s">
        <v>3380</v>
      </c>
      <c r="T403" s="38" t="s">
        <v>3381</v>
      </c>
      <c r="U403" s="38">
        <v>81338502485</v>
      </c>
      <c r="V403" s="60">
        <v>43488</v>
      </c>
      <c r="W403" s="41" t="s">
        <v>3382</v>
      </c>
      <c r="X403" s="38">
        <v>1373</v>
      </c>
      <c r="Y403" s="38" t="s">
        <v>52</v>
      </c>
      <c r="Z403" s="38" t="s">
        <v>226</v>
      </c>
      <c r="AA403" s="38" t="s">
        <v>125</v>
      </c>
      <c r="AB403" s="38" t="s">
        <v>434</v>
      </c>
      <c r="AC403" s="45"/>
      <c r="AD403" s="7"/>
      <c r="AE403" s="7"/>
      <c r="AF403" s="46"/>
      <c r="AG403" s="47"/>
      <c r="AH403" s="46"/>
      <c r="AI403" s="46"/>
    </row>
    <row r="404" spans="1:35" x14ac:dyDescent="0.25">
      <c r="A404" s="36">
        <v>397</v>
      </c>
      <c r="B404" s="37" t="s">
        <v>3383</v>
      </c>
      <c r="C404" s="38" t="s">
        <v>370</v>
      </c>
      <c r="D404" s="39">
        <v>35276</v>
      </c>
      <c r="E404" s="38" t="s">
        <v>95</v>
      </c>
      <c r="F404" s="40" t="s">
        <v>48</v>
      </c>
      <c r="G404" s="38" t="s">
        <v>3384</v>
      </c>
      <c r="H404" s="38" t="s">
        <v>72</v>
      </c>
      <c r="I404" s="38" t="s">
        <v>114</v>
      </c>
      <c r="J404" s="40" t="s">
        <v>3385</v>
      </c>
      <c r="K404" s="40" t="s">
        <v>3386</v>
      </c>
      <c r="L404" s="40"/>
      <c r="M404" s="38" t="s">
        <v>99</v>
      </c>
      <c r="N404" s="43" t="s">
        <v>48</v>
      </c>
      <c r="O404" s="43"/>
      <c r="P404" s="40" t="s">
        <v>3387</v>
      </c>
      <c r="Q404" s="40" t="s">
        <v>3388</v>
      </c>
      <c r="R404" s="50" t="s">
        <v>3389</v>
      </c>
      <c r="S404" s="38" t="s">
        <v>3390</v>
      </c>
      <c r="T404" s="38" t="s">
        <v>1655</v>
      </c>
      <c r="U404" s="38" t="s">
        <v>3391</v>
      </c>
      <c r="V404" s="60">
        <v>43488</v>
      </c>
      <c r="W404" s="65" t="s">
        <v>3392</v>
      </c>
      <c r="X404" s="38">
        <v>1372</v>
      </c>
      <c r="Y404" s="38" t="s">
        <v>52</v>
      </c>
      <c r="Z404" s="38" t="s">
        <v>396</v>
      </c>
      <c r="AA404" s="38" t="s">
        <v>397</v>
      </c>
      <c r="AB404" s="38" t="s">
        <v>55</v>
      </c>
      <c r="AC404" s="45"/>
      <c r="AD404" s="7"/>
      <c r="AE404" s="7" t="s">
        <v>1</v>
      </c>
      <c r="AF404" s="46"/>
      <c r="AG404" s="47"/>
      <c r="AH404" s="46"/>
      <c r="AI404" s="46"/>
    </row>
    <row r="405" spans="1:35" x14ac:dyDescent="0.25">
      <c r="A405" s="48">
        <v>398</v>
      </c>
      <c r="B405" s="53" t="s">
        <v>3393</v>
      </c>
      <c r="C405" s="54" t="s">
        <v>87</v>
      </c>
      <c r="D405" s="55">
        <v>35255</v>
      </c>
      <c r="E405" s="54" t="s">
        <v>40</v>
      </c>
      <c r="F405" s="53"/>
      <c r="G405" s="54" t="s">
        <v>3394</v>
      </c>
      <c r="H405" s="54"/>
      <c r="I405" s="54"/>
      <c r="J405" s="54" t="s">
        <v>3395</v>
      </c>
      <c r="K405" s="54"/>
      <c r="L405" s="54"/>
      <c r="M405" s="54"/>
      <c r="N405" s="54"/>
      <c r="O405" s="54"/>
      <c r="P405" s="54"/>
      <c r="Q405" s="54" t="s">
        <v>3396</v>
      </c>
      <c r="R405" s="57" t="s">
        <v>74</v>
      </c>
      <c r="S405" s="54" t="s">
        <v>3397</v>
      </c>
      <c r="T405" s="54"/>
      <c r="U405" s="54" t="s">
        <v>3398</v>
      </c>
      <c r="V405" s="55">
        <v>43488</v>
      </c>
      <c r="W405" s="54"/>
      <c r="X405" s="54"/>
      <c r="Y405" s="54" t="s">
        <v>85</v>
      </c>
      <c r="Z405" s="54"/>
      <c r="AA405" s="54"/>
      <c r="AB405" s="54"/>
      <c r="AC405" s="58">
        <v>43799</v>
      </c>
      <c r="AD405" s="7"/>
      <c r="AE405" s="7"/>
      <c r="AF405" s="46"/>
      <c r="AG405" s="47"/>
      <c r="AH405" s="46"/>
      <c r="AI405" s="46"/>
    </row>
    <row r="406" spans="1:35" x14ac:dyDescent="0.25">
      <c r="A406" s="36">
        <v>399</v>
      </c>
      <c r="B406" s="37" t="s">
        <v>3399</v>
      </c>
      <c r="C406" s="38" t="s">
        <v>94</v>
      </c>
      <c r="D406" s="39">
        <v>34268</v>
      </c>
      <c r="E406" s="38" t="s">
        <v>95</v>
      </c>
      <c r="F406" s="38" t="s">
        <v>129</v>
      </c>
      <c r="G406" s="38" t="s">
        <v>3400</v>
      </c>
      <c r="H406" s="38" t="s">
        <v>72</v>
      </c>
      <c r="I406" s="38" t="s">
        <v>44</v>
      </c>
      <c r="J406" s="41" t="s">
        <v>3401</v>
      </c>
      <c r="K406" s="41" t="s">
        <v>3402</v>
      </c>
      <c r="L406" s="41"/>
      <c r="M406" s="38" t="s">
        <v>99</v>
      </c>
      <c r="N406" s="41" t="s">
        <v>3403</v>
      </c>
      <c r="O406" s="41" t="s">
        <v>164</v>
      </c>
      <c r="P406" s="41" t="s">
        <v>3404</v>
      </c>
      <c r="Q406" s="41" t="s">
        <v>3405</v>
      </c>
      <c r="R406" s="50" t="s">
        <v>3406</v>
      </c>
      <c r="S406" s="38" t="s">
        <v>3407</v>
      </c>
      <c r="T406" s="38" t="s">
        <v>1185</v>
      </c>
      <c r="U406" s="40" t="s">
        <v>3408</v>
      </c>
      <c r="V406" s="60">
        <v>43489</v>
      </c>
      <c r="W406" s="41" t="s">
        <v>3409</v>
      </c>
      <c r="X406" s="38">
        <v>1376</v>
      </c>
      <c r="Y406" s="38" t="s">
        <v>52</v>
      </c>
      <c r="Z406" s="38" t="s">
        <v>172</v>
      </c>
      <c r="AA406" s="38" t="s">
        <v>125</v>
      </c>
      <c r="AB406" s="38" t="s">
        <v>1213</v>
      </c>
      <c r="AC406" s="45"/>
      <c r="AD406" s="7"/>
      <c r="AE406" s="7"/>
      <c r="AF406" s="46" t="str">
        <f>IF(R406="","",RIGHT(R406,LEN(R406)-FIND("@",R406)))</f>
        <v>gmail.com</v>
      </c>
      <c r="AG406" s="47">
        <f>LEN(R406)-LEN(SUBSTITUTE(R406," ",""))</f>
        <v>0</v>
      </c>
      <c r="AH406" s="46" t="str">
        <f>SUBSTITUTE(R406," ","")</f>
        <v>ranibjey@gmail.com</v>
      </c>
      <c r="AI406" s="46">
        <f>LEN(AH406)-LEN(SUBSTITUTE(AH406," ",""))</f>
        <v>0</v>
      </c>
    </row>
    <row r="407" spans="1:35" x14ac:dyDescent="0.25">
      <c r="A407" s="36">
        <v>400</v>
      </c>
      <c r="B407" s="53" t="s">
        <v>3410</v>
      </c>
      <c r="C407" s="54" t="s">
        <v>3411</v>
      </c>
      <c r="D407" s="55">
        <v>35246</v>
      </c>
      <c r="E407" s="54" t="s">
        <v>40</v>
      </c>
      <c r="F407" s="53"/>
      <c r="G407" s="54" t="s">
        <v>3412</v>
      </c>
      <c r="H407" s="54"/>
      <c r="I407" s="54"/>
      <c r="J407" s="54" t="s">
        <v>3413</v>
      </c>
      <c r="K407" s="54"/>
      <c r="L407" s="54"/>
      <c r="M407" s="54"/>
      <c r="N407" s="54"/>
      <c r="O407" s="54"/>
      <c r="P407" s="54"/>
      <c r="Q407" s="54" t="s">
        <v>3414</v>
      </c>
      <c r="R407" s="57" t="s">
        <v>74</v>
      </c>
      <c r="S407" s="54" t="s">
        <v>3415</v>
      </c>
      <c r="T407" s="54"/>
      <c r="U407" s="54" t="s">
        <v>3416</v>
      </c>
      <c r="V407" s="55">
        <v>43490</v>
      </c>
      <c r="W407" s="54"/>
      <c r="X407" s="54"/>
      <c r="Y407" s="54" t="s">
        <v>85</v>
      </c>
      <c r="Z407" s="54"/>
      <c r="AA407" s="54"/>
      <c r="AB407" s="54"/>
      <c r="AC407" s="58">
        <v>43497</v>
      </c>
      <c r="AD407" s="7"/>
      <c r="AE407" s="7"/>
      <c r="AF407" s="46"/>
      <c r="AG407" s="47"/>
      <c r="AH407" s="46"/>
      <c r="AI407" s="46"/>
    </row>
    <row r="408" spans="1:35" x14ac:dyDescent="0.25">
      <c r="A408" s="36">
        <v>401</v>
      </c>
      <c r="B408" s="37" t="s">
        <v>3417</v>
      </c>
      <c r="C408" s="38" t="s">
        <v>94</v>
      </c>
      <c r="D408" s="39">
        <v>36290</v>
      </c>
      <c r="E408" s="38" t="s">
        <v>40</v>
      </c>
      <c r="F408" s="38" t="s">
        <v>129</v>
      </c>
      <c r="G408" s="38" t="s">
        <v>3418</v>
      </c>
      <c r="H408" s="38" t="s">
        <v>72</v>
      </c>
      <c r="I408" s="38" t="s">
        <v>114</v>
      </c>
      <c r="J408" s="41" t="s">
        <v>3419</v>
      </c>
      <c r="K408" s="41" t="s">
        <v>3420</v>
      </c>
      <c r="L408" s="43"/>
      <c r="M408" s="38" t="s">
        <v>99</v>
      </c>
      <c r="N408" s="43" t="s">
        <v>48</v>
      </c>
      <c r="O408" s="43"/>
      <c r="P408" s="41" t="s">
        <v>3421</v>
      </c>
      <c r="Q408" s="43" t="s">
        <v>3422</v>
      </c>
      <c r="R408" s="50" t="s">
        <v>3423</v>
      </c>
      <c r="S408" s="38" t="s">
        <v>3424</v>
      </c>
      <c r="T408" s="38" t="s">
        <v>3140</v>
      </c>
      <c r="U408" s="38" t="s">
        <v>3425</v>
      </c>
      <c r="V408" s="60">
        <v>43493</v>
      </c>
      <c r="W408" s="41" t="s">
        <v>3426</v>
      </c>
      <c r="X408" s="38">
        <v>1378</v>
      </c>
      <c r="Y408" s="38" t="s">
        <v>52</v>
      </c>
      <c r="Z408" s="38" t="s">
        <v>156</v>
      </c>
      <c r="AA408" s="38" t="s">
        <v>125</v>
      </c>
      <c r="AB408" s="38" t="s">
        <v>157</v>
      </c>
      <c r="AC408" s="45"/>
      <c r="AD408" s="7"/>
      <c r="AE408" s="7"/>
      <c r="AF408" s="46" t="str">
        <f>IF(R408="","",RIGHT(R408,LEN(R408)-FIND("@",R408)))</f>
        <v>gmail.com</v>
      </c>
      <c r="AG408" s="47">
        <f>LEN(R408)-LEN(SUBSTITUTE(R408," ",""))</f>
        <v>0</v>
      </c>
      <c r="AH408" s="46" t="str">
        <f>SUBSTITUTE(R408," ","")</f>
        <v>kadek.adi106@gmail.com</v>
      </c>
      <c r="AI408" s="46">
        <f>LEN(AH408)-LEN(SUBSTITUTE(AH408," ",""))</f>
        <v>0</v>
      </c>
    </row>
    <row r="409" spans="1:35" x14ac:dyDescent="0.25">
      <c r="A409" s="36">
        <v>402</v>
      </c>
      <c r="B409" s="53" t="s">
        <v>3427</v>
      </c>
      <c r="C409" s="54" t="s">
        <v>370</v>
      </c>
      <c r="D409" s="55">
        <v>36633</v>
      </c>
      <c r="E409" s="54" t="s">
        <v>40</v>
      </c>
      <c r="F409" s="53"/>
      <c r="G409" s="54" t="s">
        <v>3428</v>
      </c>
      <c r="H409" s="54"/>
      <c r="I409" s="54"/>
      <c r="J409" s="54" t="s">
        <v>3429</v>
      </c>
      <c r="K409" s="54"/>
      <c r="L409" s="54"/>
      <c r="M409" s="54"/>
      <c r="N409" s="54"/>
      <c r="O409" s="54"/>
      <c r="P409" s="54"/>
      <c r="Q409" s="54" t="s">
        <v>3430</v>
      </c>
      <c r="R409" s="57" t="s">
        <v>74</v>
      </c>
      <c r="S409" s="54" t="s">
        <v>950</v>
      </c>
      <c r="T409" s="54"/>
      <c r="U409" s="54" t="s">
        <v>3431</v>
      </c>
      <c r="V409" s="55">
        <v>43495</v>
      </c>
      <c r="W409" s="54"/>
      <c r="X409" s="54"/>
      <c r="Y409" s="54" t="s">
        <v>85</v>
      </c>
      <c r="Z409" s="54"/>
      <c r="AA409" s="54"/>
      <c r="AB409" s="54"/>
      <c r="AC409" s="58">
        <v>43525</v>
      </c>
      <c r="AD409" s="7"/>
      <c r="AE409" s="7"/>
      <c r="AF409" s="46" t="str">
        <f>IF(R409="","",RIGHT(R409,LEN(R409)-FIND("@",R409)))</f>
        <v/>
      </c>
      <c r="AG409" s="47">
        <f>LEN(R409)-LEN(SUBSTITUTE(R409," ",""))</f>
        <v>0</v>
      </c>
      <c r="AH409" s="46" t="str">
        <f>SUBSTITUTE(R409," ","")</f>
        <v/>
      </c>
      <c r="AI409" s="46">
        <f>LEN(AH409)-LEN(SUBSTITUTE(AH409," ",""))</f>
        <v>0</v>
      </c>
    </row>
    <row r="410" spans="1:35" x14ac:dyDescent="0.25">
      <c r="A410" s="36">
        <v>403</v>
      </c>
      <c r="B410" s="53" t="s">
        <v>3432</v>
      </c>
      <c r="C410" s="54" t="s">
        <v>328</v>
      </c>
      <c r="D410" s="55">
        <v>34198</v>
      </c>
      <c r="E410" s="54" t="s">
        <v>40</v>
      </c>
      <c r="F410" s="53"/>
      <c r="G410" s="54" t="s">
        <v>3433</v>
      </c>
      <c r="H410" s="54"/>
      <c r="I410" s="54"/>
      <c r="J410" s="54" t="s">
        <v>3434</v>
      </c>
      <c r="K410" s="54"/>
      <c r="L410" s="54"/>
      <c r="M410" s="54"/>
      <c r="N410" s="54"/>
      <c r="O410" s="54"/>
      <c r="P410" s="54"/>
      <c r="Q410" s="54" t="s">
        <v>3435</v>
      </c>
      <c r="R410" s="57" t="s">
        <v>74</v>
      </c>
      <c r="S410" s="54" t="s">
        <v>3436</v>
      </c>
      <c r="T410" s="54"/>
      <c r="U410" s="54" t="s">
        <v>3437</v>
      </c>
      <c r="V410" s="55">
        <v>43501</v>
      </c>
      <c r="W410" s="54"/>
      <c r="X410" s="54"/>
      <c r="Y410" s="54" t="s">
        <v>85</v>
      </c>
      <c r="Z410" s="54"/>
      <c r="AA410" s="54"/>
      <c r="AB410" s="54"/>
      <c r="AC410" s="58">
        <v>43497</v>
      </c>
      <c r="AD410" s="7"/>
      <c r="AE410" s="7"/>
      <c r="AF410" s="46"/>
      <c r="AG410" s="47"/>
      <c r="AH410" s="46"/>
      <c r="AI410" s="46"/>
    </row>
    <row r="411" spans="1:35" x14ac:dyDescent="0.25">
      <c r="A411" s="48">
        <v>404</v>
      </c>
      <c r="B411" s="37" t="s">
        <v>3438</v>
      </c>
      <c r="C411" s="38" t="s">
        <v>3439</v>
      </c>
      <c r="D411" s="39">
        <v>34752</v>
      </c>
      <c r="E411" s="38" t="s">
        <v>40</v>
      </c>
      <c r="F411" s="40" t="s">
        <v>48</v>
      </c>
      <c r="G411" s="38" t="s">
        <v>3440</v>
      </c>
      <c r="H411" s="38" t="s">
        <v>113</v>
      </c>
      <c r="I411" s="38" t="s">
        <v>114</v>
      </c>
      <c r="J411" s="41" t="s">
        <v>3441</v>
      </c>
      <c r="K411" s="41"/>
      <c r="L411" s="43"/>
      <c r="M411" s="38" t="s">
        <v>99</v>
      </c>
      <c r="N411" s="43" t="s">
        <v>3442</v>
      </c>
      <c r="O411" s="43" t="s">
        <v>428</v>
      </c>
      <c r="P411" s="41" t="s">
        <v>672</v>
      </c>
      <c r="Q411" s="43" t="s">
        <v>3443</v>
      </c>
      <c r="R411" s="50" t="s">
        <v>3444</v>
      </c>
      <c r="S411" s="38" t="s">
        <v>3445</v>
      </c>
      <c r="T411" s="38" t="s">
        <v>3446</v>
      </c>
      <c r="U411" s="38" t="s">
        <v>3447</v>
      </c>
      <c r="V411" s="60">
        <v>43504</v>
      </c>
      <c r="W411" s="41" t="s">
        <v>3448</v>
      </c>
      <c r="X411" s="38">
        <v>1381</v>
      </c>
      <c r="Y411" s="38" t="s">
        <v>52</v>
      </c>
      <c r="Z411" s="38" t="s">
        <v>416</v>
      </c>
      <c r="AA411" s="38" t="s">
        <v>125</v>
      </c>
      <c r="AB411" s="38" t="s">
        <v>341</v>
      </c>
      <c r="AC411" s="45"/>
      <c r="AD411" s="7"/>
      <c r="AE411" s="7"/>
      <c r="AF411" s="46" t="str">
        <f>IF(R411="","",RIGHT(R411,LEN(R411)-FIND("@",R411)))</f>
        <v>gmail.com</v>
      </c>
      <c r="AG411" s="47">
        <f>LEN(R411)-LEN(SUBSTITUTE(R411," ",""))</f>
        <v>0</v>
      </c>
      <c r="AH411" s="46" t="str">
        <f>SUBSTITUTE(R411," ","")</f>
        <v>denipratama2257@gmail.com</v>
      </c>
      <c r="AI411" s="46">
        <f>LEN(AH411)-LEN(SUBSTITUTE(AH411," ",""))</f>
        <v>0</v>
      </c>
    </row>
    <row r="412" spans="1:35" x14ac:dyDescent="0.25">
      <c r="A412" s="36">
        <v>405</v>
      </c>
      <c r="B412" s="37" t="s">
        <v>3449</v>
      </c>
      <c r="C412" s="38" t="s">
        <v>57</v>
      </c>
      <c r="D412" s="39">
        <v>28816</v>
      </c>
      <c r="E412" s="38" t="s">
        <v>40</v>
      </c>
      <c r="F412" s="38" t="s">
        <v>41</v>
      </c>
      <c r="G412" s="38" t="s">
        <v>3450</v>
      </c>
      <c r="H412" s="38" t="s">
        <v>510</v>
      </c>
      <c r="I412" s="38" t="s">
        <v>44</v>
      </c>
      <c r="J412" s="41" t="s">
        <v>3451</v>
      </c>
      <c r="K412" s="41" t="s">
        <v>3452</v>
      </c>
      <c r="L412" s="42" t="s">
        <v>3453</v>
      </c>
      <c r="M412" s="38" t="s">
        <v>47</v>
      </c>
      <c r="N412" s="43" t="s">
        <v>3454</v>
      </c>
      <c r="O412" s="43" t="s">
        <v>76</v>
      </c>
      <c r="P412" s="41" t="s">
        <v>3455</v>
      </c>
      <c r="Q412" s="41" t="s">
        <v>3456</v>
      </c>
      <c r="R412" s="50" t="s">
        <v>3457</v>
      </c>
      <c r="S412" s="38" t="s">
        <v>3458</v>
      </c>
      <c r="T412" s="38" t="s">
        <v>463</v>
      </c>
      <c r="U412" s="38">
        <v>81238353979</v>
      </c>
      <c r="V412" s="52">
        <v>43507</v>
      </c>
      <c r="W412" s="41" t="s">
        <v>3459</v>
      </c>
      <c r="X412" s="38">
        <v>1384</v>
      </c>
      <c r="Y412" s="38" t="s">
        <v>52</v>
      </c>
      <c r="Z412" s="38" t="s">
        <v>3460</v>
      </c>
      <c r="AA412" s="38" t="s">
        <v>82</v>
      </c>
      <c r="AB412" s="38" t="s">
        <v>55</v>
      </c>
      <c r="AC412" s="45"/>
      <c r="AD412" s="7"/>
      <c r="AE412" s="7"/>
      <c r="AF412" s="46" t="str">
        <f>IF(R412="","",RIGHT(R412,LEN(R412)-FIND("@",R412)))</f>
        <v>gmail.com</v>
      </c>
      <c r="AG412" s="47">
        <f>LEN(R412)-LEN(SUBSTITUTE(R412," ",""))</f>
        <v>0</v>
      </c>
      <c r="AH412" s="46" t="str">
        <f>SUBSTITUTE(R412," ","")</f>
        <v>novendy.huang@gmail.com</v>
      </c>
      <c r="AI412" s="46">
        <f>LEN(AH412)-LEN(SUBSTITUTE(AH412," ",""))</f>
        <v>0</v>
      </c>
    </row>
    <row r="413" spans="1:35" x14ac:dyDescent="0.25">
      <c r="A413" s="36">
        <v>406</v>
      </c>
      <c r="B413" s="53" t="s">
        <v>3461</v>
      </c>
      <c r="C413" s="54" t="s">
        <v>3462</v>
      </c>
      <c r="D413" s="55">
        <v>36441</v>
      </c>
      <c r="E413" s="54" t="s">
        <v>95</v>
      </c>
      <c r="F413" s="69" t="s">
        <v>48</v>
      </c>
      <c r="G413" s="54" t="s">
        <v>3463</v>
      </c>
      <c r="H413" s="54" t="s">
        <v>72</v>
      </c>
      <c r="I413" s="54" t="s">
        <v>114</v>
      </c>
      <c r="J413" s="66" t="s">
        <v>3464</v>
      </c>
      <c r="K413" s="66" t="s">
        <v>3465</v>
      </c>
      <c r="L413" s="66"/>
      <c r="M413" s="54" t="s">
        <v>99</v>
      </c>
      <c r="N413" s="68" t="s">
        <v>3466</v>
      </c>
      <c r="O413" s="68" t="s">
        <v>428</v>
      </c>
      <c r="P413" s="66" t="s">
        <v>3467</v>
      </c>
      <c r="Q413" s="66" t="s">
        <v>3468</v>
      </c>
      <c r="R413" s="57" t="s">
        <v>3469</v>
      </c>
      <c r="S413" s="54" t="s">
        <v>3470</v>
      </c>
      <c r="T413" s="54" t="s">
        <v>463</v>
      </c>
      <c r="U413" s="54" t="s">
        <v>3471</v>
      </c>
      <c r="V413" s="72">
        <v>43507</v>
      </c>
      <c r="W413" s="66" t="s">
        <v>3472</v>
      </c>
      <c r="X413" s="54">
        <v>1382</v>
      </c>
      <c r="Y413" s="54" t="s">
        <v>85</v>
      </c>
      <c r="Z413" s="54" t="s">
        <v>172</v>
      </c>
      <c r="AA413" s="54" t="s">
        <v>125</v>
      </c>
      <c r="AB413" s="54" t="s">
        <v>641</v>
      </c>
      <c r="AC413" s="58">
        <v>44013</v>
      </c>
      <c r="AD413" s="7"/>
      <c r="AE413" s="7"/>
      <c r="AF413" s="46"/>
      <c r="AG413" s="47"/>
      <c r="AH413" s="46"/>
      <c r="AI413" s="46"/>
    </row>
    <row r="414" spans="1:35" x14ac:dyDescent="0.25">
      <c r="A414" s="36">
        <v>407</v>
      </c>
      <c r="B414" s="53" t="s">
        <v>3473</v>
      </c>
      <c r="C414" s="54" t="s">
        <v>3474</v>
      </c>
      <c r="D414" s="55">
        <v>35076</v>
      </c>
      <c r="E414" s="54" t="s">
        <v>40</v>
      </c>
      <c r="F414" s="53"/>
      <c r="G414" s="54" t="s">
        <v>3475</v>
      </c>
      <c r="H414" s="54"/>
      <c r="I414" s="54"/>
      <c r="J414" s="54" t="s">
        <v>3476</v>
      </c>
      <c r="K414" s="54"/>
      <c r="L414" s="54"/>
      <c r="M414" s="54"/>
      <c r="N414" s="54"/>
      <c r="O414" s="54"/>
      <c r="P414" s="54"/>
      <c r="Q414" s="54" t="s">
        <v>3477</v>
      </c>
      <c r="R414" s="57" t="s">
        <v>74</v>
      </c>
      <c r="S414" s="54" t="s">
        <v>3478</v>
      </c>
      <c r="T414" s="54"/>
      <c r="U414" s="54"/>
      <c r="V414" s="55">
        <v>43509</v>
      </c>
      <c r="W414" s="54"/>
      <c r="X414" s="54"/>
      <c r="Y414" s="54" t="s">
        <v>85</v>
      </c>
      <c r="Z414" s="54"/>
      <c r="AA414" s="54"/>
      <c r="AB414" s="54"/>
      <c r="AC414" s="58">
        <v>43554</v>
      </c>
      <c r="AD414" s="7"/>
      <c r="AE414" s="7"/>
      <c r="AF414" s="46" t="str">
        <f>IF(R414="","",RIGHT(R414,LEN(R414)-FIND("@",R414)))</f>
        <v/>
      </c>
      <c r="AG414" s="47">
        <f>LEN(R414)-LEN(SUBSTITUTE(R414," ",""))</f>
        <v>0</v>
      </c>
      <c r="AH414" s="46" t="str">
        <f>SUBSTITUTE(R414," ","")</f>
        <v/>
      </c>
      <c r="AI414" s="46">
        <f>LEN(AH414)-LEN(SUBSTITUTE(AH414," ",""))</f>
        <v>0</v>
      </c>
    </row>
    <row r="415" spans="1:35" x14ac:dyDescent="0.25">
      <c r="A415" s="36">
        <v>408</v>
      </c>
      <c r="B415" s="37" t="s">
        <v>3479</v>
      </c>
      <c r="C415" s="38" t="s">
        <v>554</v>
      </c>
      <c r="D415" s="39">
        <v>34557</v>
      </c>
      <c r="E415" s="38" t="s">
        <v>95</v>
      </c>
      <c r="F415" s="38"/>
      <c r="G415" s="38" t="s">
        <v>3480</v>
      </c>
      <c r="H415" s="38" t="s">
        <v>72</v>
      </c>
      <c r="I415" s="38" t="s">
        <v>114</v>
      </c>
      <c r="J415" s="41" t="s">
        <v>3481</v>
      </c>
      <c r="K415" s="41" t="s">
        <v>3482</v>
      </c>
      <c r="L415" s="41"/>
      <c r="M415" s="38" t="s">
        <v>99</v>
      </c>
      <c r="N415" s="43" t="s">
        <v>3483</v>
      </c>
      <c r="O415" s="43" t="s">
        <v>164</v>
      </c>
      <c r="P415" s="41" t="s">
        <v>3484</v>
      </c>
      <c r="Q415" s="41" t="s">
        <v>3485</v>
      </c>
      <c r="R415" s="50" t="s">
        <v>3486</v>
      </c>
      <c r="S415" s="38" t="s">
        <v>3487</v>
      </c>
      <c r="T415" s="38" t="s">
        <v>1655</v>
      </c>
      <c r="U415" s="38" t="s">
        <v>3488</v>
      </c>
      <c r="V415" s="60">
        <v>43514</v>
      </c>
      <c r="W415" s="41" t="s">
        <v>3489</v>
      </c>
      <c r="X415" s="38">
        <v>1385</v>
      </c>
      <c r="Y415" s="38" t="s">
        <v>52</v>
      </c>
      <c r="Z415" s="38" t="s">
        <v>396</v>
      </c>
      <c r="AA415" s="38" t="s">
        <v>777</v>
      </c>
      <c r="AB415" s="38" t="s">
        <v>778</v>
      </c>
      <c r="AC415" s="45"/>
      <c r="AD415" s="7"/>
      <c r="AE415" s="7"/>
      <c r="AF415" s="46" t="str">
        <f>IF(R415="","",RIGHT(R415,LEN(R415)-FIND("@",R415)))</f>
        <v>gmail.com</v>
      </c>
      <c r="AG415" s="47">
        <f>LEN(R415)-LEN(SUBSTITUTE(R415," ",""))</f>
        <v>0</v>
      </c>
      <c r="AH415" s="46" t="str">
        <f>SUBSTITUTE(R415," ","")</f>
        <v>ekakardani77@gmail.com</v>
      </c>
      <c r="AI415" s="46">
        <f>LEN(AH415)-LEN(SUBSTITUTE(AH415," ",""))</f>
        <v>0</v>
      </c>
    </row>
    <row r="416" spans="1:35" x14ac:dyDescent="0.25">
      <c r="A416" s="36">
        <v>409</v>
      </c>
      <c r="B416" s="37" t="s">
        <v>3490</v>
      </c>
      <c r="C416" s="38" t="s">
        <v>712</v>
      </c>
      <c r="D416" s="39">
        <v>35281</v>
      </c>
      <c r="E416" s="38" t="s">
        <v>40</v>
      </c>
      <c r="F416" s="38" t="s">
        <v>129</v>
      </c>
      <c r="G416" s="38" t="s">
        <v>3491</v>
      </c>
      <c r="H416" s="38" t="s">
        <v>72</v>
      </c>
      <c r="I416" s="38" t="s">
        <v>114</v>
      </c>
      <c r="J416" s="43" t="s">
        <v>3492</v>
      </c>
      <c r="K416" s="43" t="s">
        <v>3493</v>
      </c>
      <c r="L416" s="43"/>
      <c r="M416" s="38" t="s">
        <v>99</v>
      </c>
      <c r="N416" s="43" t="s">
        <v>48</v>
      </c>
      <c r="O416" s="43"/>
      <c r="P416" s="41" t="s">
        <v>3494</v>
      </c>
      <c r="Q416" s="41" t="s">
        <v>3495</v>
      </c>
      <c r="R416" s="50" t="s">
        <v>3496</v>
      </c>
      <c r="S416" s="38" t="s">
        <v>3497</v>
      </c>
      <c r="T416" s="38" t="s">
        <v>3498</v>
      </c>
      <c r="U416" s="40" t="s">
        <v>3499</v>
      </c>
      <c r="V416" s="60">
        <v>43514</v>
      </c>
      <c r="W416" s="41" t="s">
        <v>3500</v>
      </c>
      <c r="X416" s="38">
        <v>1386</v>
      </c>
      <c r="Y416" s="38" t="s">
        <v>52</v>
      </c>
      <c r="Z416" s="38" t="s">
        <v>396</v>
      </c>
      <c r="AA416" s="38" t="s">
        <v>213</v>
      </c>
      <c r="AB416" s="38" t="s">
        <v>214</v>
      </c>
      <c r="AC416" s="45"/>
      <c r="AD416" s="7"/>
      <c r="AE416" s="7"/>
      <c r="AF416" s="46"/>
      <c r="AG416" s="47"/>
      <c r="AH416" s="46"/>
      <c r="AI416" s="46"/>
    </row>
    <row r="417" spans="1:35" x14ac:dyDescent="0.25">
      <c r="A417" s="48">
        <v>410</v>
      </c>
      <c r="B417" s="37" t="s">
        <v>3501</v>
      </c>
      <c r="C417" s="38" t="s">
        <v>94</v>
      </c>
      <c r="D417" s="39">
        <v>34045</v>
      </c>
      <c r="E417" s="38" t="s">
        <v>40</v>
      </c>
      <c r="F417" s="38" t="s">
        <v>41</v>
      </c>
      <c r="G417" s="38" t="s">
        <v>3502</v>
      </c>
      <c r="H417" s="38" t="s">
        <v>72</v>
      </c>
      <c r="I417" s="38" t="s">
        <v>114</v>
      </c>
      <c r="J417" s="41" t="s">
        <v>3503</v>
      </c>
      <c r="K417" s="41" t="s">
        <v>3504</v>
      </c>
      <c r="L417" s="43"/>
      <c r="M417" s="38" t="s">
        <v>99</v>
      </c>
      <c r="N417" s="41" t="s">
        <v>3505</v>
      </c>
      <c r="O417" s="41" t="s">
        <v>76</v>
      </c>
      <c r="P417" s="41" t="s">
        <v>3506</v>
      </c>
      <c r="Q417" s="43" t="s">
        <v>3507</v>
      </c>
      <c r="R417" s="50" t="s">
        <v>3508</v>
      </c>
      <c r="S417" s="38" t="s">
        <v>3509</v>
      </c>
      <c r="T417" s="38" t="s">
        <v>3510</v>
      </c>
      <c r="U417" s="38" t="s">
        <v>3511</v>
      </c>
      <c r="V417" s="60">
        <v>43515</v>
      </c>
      <c r="W417" s="41" t="s">
        <v>3512</v>
      </c>
      <c r="X417" s="38">
        <v>1389</v>
      </c>
      <c r="Y417" s="38" t="s">
        <v>52</v>
      </c>
      <c r="Z417" s="38" t="s">
        <v>156</v>
      </c>
      <c r="AA417" s="38" t="s">
        <v>125</v>
      </c>
      <c r="AB417" s="38" t="s">
        <v>341</v>
      </c>
      <c r="AC417" s="45"/>
      <c r="AD417" s="7"/>
      <c r="AE417" s="7"/>
      <c r="AF417" s="46" t="str">
        <f>IF(R417="","",RIGHT(R417,LEN(R417)-FIND("@",R417)))</f>
        <v>gmail.com</v>
      </c>
      <c r="AG417" s="47">
        <f>LEN(R417)-LEN(SUBSTITUTE(R417," ",""))</f>
        <v>0</v>
      </c>
      <c r="AH417" s="46" t="str">
        <f>SUBSTITUTE(R417," ","")</f>
        <v>suastikapradnyanaputra@gmail.com</v>
      </c>
      <c r="AI417" s="46">
        <f>LEN(AH417)-LEN(SUBSTITUTE(AH417," ",""))</f>
        <v>0</v>
      </c>
    </row>
    <row r="418" spans="1:35" x14ac:dyDescent="0.25">
      <c r="A418" s="36">
        <v>411</v>
      </c>
      <c r="B418" s="53" t="s">
        <v>3513</v>
      </c>
      <c r="C418" s="54" t="s">
        <v>328</v>
      </c>
      <c r="D418" s="55">
        <v>35942</v>
      </c>
      <c r="E418" s="54" t="s">
        <v>95</v>
      </c>
      <c r="F418" s="54" t="s">
        <v>48</v>
      </c>
      <c r="G418" s="54" t="s">
        <v>3514</v>
      </c>
      <c r="H418" s="54" t="s">
        <v>113</v>
      </c>
      <c r="I418" s="54" t="s">
        <v>114</v>
      </c>
      <c r="J418" s="66" t="s">
        <v>3515</v>
      </c>
      <c r="K418" s="66" t="s">
        <v>3516</v>
      </c>
      <c r="L418" s="66"/>
      <c r="M418" s="54" t="s">
        <v>99</v>
      </c>
      <c r="N418" s="68" t="s">
        <v>48</v>
      </c>
      <c r="O418" s="68"/>
      <c r="P418" s="66" t="s">
        <v>3517</v>
      </c>
      <c r="Q418" s="66" t="s">
        <v>3518</v>
      </c>
      <c r="R418" s="57" t="s">
        <v>3519</v>
      </c>
      <c r="S418" s="54" t="s">
        <v>3520</v>
      </c>
      <c r="T418" s="54" t="s">
        <v>463</v>
      </c>
      <c r="U418" s="54" t="s">
        <v>3521</v>
      </c>
      <c r="V418" s="72">
        <v>43515</v>
      </c>
      <c r="W418" s="66" t="s">
        <v>3522</v>
      </c>
      <c r="X418" s="54">
        <v>1388</v>
      </c>
      <c r="Y418" s="54" t="s">
        <v>85</v>
      </c>
      <c r="Z418" s="54" t="s">
        <v>172</v>
      </c>
      <c r="AA418" s="54" t="s">
        <v>125</v>
      </c>
      <c r="AB418" s="54" t="s">
        <v>1570</v>
      </c>
      <c r="AC418" s="58">
        <v>43965</v>
      </c>
      <c r="AD418" s="77"/>
      <c r="AE418" s="7"/>
      <c r="AF418" s="46"/>
      <c r="AG418" s="47"/>
      <c r="AH418" s="46"/>
      <c r="AI418" s="46"/>
    </row>
    <row r="419" spans="1:35" x14ac:dyDescent="0.25">
      <c r="A419" s="36">
        <v>412</v>
      </c>
      <c r="B419" s="53" t="s">
        <v>3523</v>
      </c>
      <c r="C419" s="54" t="s">
        <v>94</v>
      </c>
      <c r="D419" s="55">
        <v>34265</v>
      </c>
      <c r="E419" s="54" t="s">
        <v>40</v>
      </c>
      <c r="F419" s="53"/>
      <c r="G419" s="54" t="s">
        <v>3524</v>
      </c>
      <c r="H419" s="54"/>
      <c r="I419" s="54"/>
      <c r="J419" s="54" t="s">
        <v>3525</v>
      </c>
      <c r="K419" s="54"/>
      <c r="L419" s="54"/>
      <c r="M419" s="54"/>
      <c r="N419" s="54"/>
      <c r="O419" s="54"/>
      <c r="P419" s="54"/>
      <c r="Q419" s="54" t="s">
        <v>3526</v>
      </c>
      <c r="R419" s="57" t="s">
        <v>74</v>
      </c>
      <c r="S419" s="54" t="s">
        <v>3524</v>
      </c>
      <c r="T419" s="54"/>
      <c r="U419" s="54" t="s">
        <v>3527</v>
      </c>
      <c r="V419" s="55">
        <v>43515</v>
      </c>
      <c r="W419" s="54"/>
      <c r="X419" s="54"/>
      <c r="Y419" s="54" t="s">
        <v>85</v>
      </c>
      <c r="Z419" s="54"/>
      <c r="AA419" s="54"/>
      <c r="AB419" s="54"/>
      <c r="AC419" s="58">
        <v>43525</v>
      </c>
      <c r="AD419" s="7"/>
      <c r="AE419" s="7"/>
      <c r="AF419" s="46"/>
      <c r="AG419" s="47"/>
      <c r="AH419" s="46"/>
      <c r="AI419" s="46"/>
    </row>
    <row r="420" spans="1:35" x14ac:dyDescent="0.25">
      <c r="A420" s="36">
        <v>413</v>
      </c>
      <c r="B420" s="37" t="s">
        <v>3528</v>
      </c>
      <c r="C420" s="38" t="s">
        <v>548</v>
      </c>
      <c r="D420" s="39">
        <v>27025</v>
      </c>
      <c r="E420" s="38" t="s">
        <v>40</v>
      </c>
      <c r="F420" s="38" t="s">
        <v>3529</v>
      </c>
      <c r="G420" s="38" t="s">
        <v>3530</v>
      </c>
      <c r="H420" s="38" t="s">
        <v>43</v>
      </c>
      <c r="I420" s="38" t="s">
        <v>44</v>
      </c>
      <c r="J420" s="41" t="s">
        <v>3531</v>
      </c>
      <c r="K420" s="41"/>
      <c r="L420" s="41" t="s">
        <v>3532</v>
      </c>
      <c r="M420" s="38" t="s">
        <v>47</v>
      </c>
      <c r="N420" s="43" t="s">
        <v>3533</v>
      </c>
      <c r="O420" s="43" t="s">
        <v>164</v>
      </c>
      <c r="P420" s="41" t="s">
        <v>3534</v>
      </c>
      <c r="Q420" s="43" t="s">
        <v>3535</v>
      </c>
      <c r="R420" s="50" t="s">
        <v>3536</v>
      </c>
      <c r="S420" s="38" t="s">
        <v>3537</v>
      </c>
      <c r="T420" s="38" t="s">
        <v>412</v>
      </c>
      <c r="U420" s="38" t="s">
        <v>3538</v>
      </c>
      <c r="V420" s="52">
        <v>43521</v>
      </c>
      <c r="W420" s="41" t="s">
        <v>3539</v>
      </c>
      <c r="X420" s="38">
        <v>1390</v>
      </c>
      <c r="Y420" s="38" t="s">
        <v>52</v>
      </c>
      <c r="Z420" s="38" t="s">
        <v>108</v>
      </c>
      <c r="AA420" s="38" t="s">
        <v>777</v>
      </c>
      <c r="AB420" s="38" t="s">
        <v>778</v>
      </c>
      <c r="AC420" s="45"/>
      <c r="AD420" s="7"/>
      <c r="AE420" s="7"/>
      <c r="AF420" s="46"/>
      <c r="AG420" s="47"/>
      <c r="AH420" s="46"/>
      <c r="AI420" s="46"/>
    </row>
    <row r="421" spans="1:35" x14ac:dyDescent="0.25">
      <c r="A421" s="36">
        <v>414</v>
      </c>
      <c r="B421" s="53" t="s">
        <v>3540</v>
      </c>
      <c r="C421" s="54" t="s">
        <v>3541</v>
      </c>
      <c r="D421" s="55">
        <v>33845</v>
      </c>
      <c r="E421" s="54" t="s">
        <v>40</v>
      </c>
      <c r="F421" s="53"/>
      <c r="G421" s="54" t="s">
        <v>3542</v>
      </c>
      <c r="H421" s="54"/>
      <c r="I421" s="54"/>
      <c r="J421" s="54" t="s">
        <v>3543</v>
      </c>
      <c r="K421" s="54"/>
      <c r="L421" s="54"/>
      <c r="M421" s="54"/>
      <c r="N421" s="54"/>
      <c r="O421" s="54"/>
      <c r="P421" s="54"/>
      <c r="Q421" s="54" t="s">
        <v>3544</v>
      </c>
      <c r="R421" s="57" t="s">
        <v>74</v>
      </c>
      <c r="S421" s="54" t="s">
        <v>3545</v>
      </c>
      <c r="T421" s="54"/>
      <c r="U421" s="54" t="s">
        <v>3546</v>
      </c>
      <c r="V421" s="55">
        <v>43522</v>
      </c>
      <c r="W421" s="54"/>
      <c r="X421" s="54"/>
      <c r="Y421" s="54" t="s">
        <v>85</v>
      </c>
      <c r="Z421" s="54"/>
      <c r="AA421" s="54"/>
      <c r="AB421" s="54"/>
      <c r="AC421" s="58">
        <v>43741</v>
      </c>
      <c r="AD421" s="7"/>
      <c r="AE421" s="7"/>
      <c r="AF421" s="46"/>
      <c r="AG421" s="47"/>
      <c r="AH421" s="46"/>
      <c r="AI421" s="46"/>
    </row>
    <row r="422" spans="1:35" x14ac:dyDescent="0.25">
      <c r="A422" s="36">
        <v>415</v>
      </c>
      <c r="B422" s="53" t="s">
        <v>3547</v>
      </c>
      <c r="C422" s="54" t="s">
        <v>548</v>
      </c>
      <c r="D422" s="55">
        <v>36749</v>
      </c>
      <c r="E422" s="54" t="s">
        <v>95</v>
      </c>
      <c r="F422" s="53"/>
      <c r="G422" s="54" t="s">
        <v>3548</v>
      </c>
      <c r="H422" s="54"/>
      <c r="I422" s="54"/>
      <c r="J422" s="54" t="s">
        <v>3549</v>
      </c>
      <c r="K422" s="54"/>
      <c r="L422" s="54"/>
      <c r="M422" s="54" t="s">
        <v>99</v>
      </c>
      <c r="N422" s="54"/>
      <c r="O422" s="54"/>
      <c r="P422" s="54"/>
      <c r="Q422" s="54" t="s">
        <v>3550</v>
      </c>
      <c r="R422" s="57" t="s">
        <v>74</v>
      </c>
      <c r="S422" s="54" t="s">
        <v>3551</v>
      </c>
      <c r="T422" s="54"/>
      <c r="U422" s="54" t="s">
        <v>3552</v>
      </c>
      <c r="V422" s="55">
        <v>43523</v>
      </c>
      <c r="W422" s="54"/>
      <c r="X422" s="54"/>
      <c r="Y422" s="54" t="s">
        <v>85</v>
      </c>
      <c r="Z422" s="54"/>
      <c r="AA422" s="54"/>
      <c r="AB422" s="54"/>
      <c r="AC422" s="58">
        <v>43585</v>
      </c>
      <c r="AD422" s="7"/>
      <c r="AE422" s="7"/>
      <c r="AF422" s="46"/>
      <c r="AG422" s="47"/>
      <c r="AH422" s="46"/>
      <c r="AI422" s="46"/>
    </row>
    <row r="423" spans="1:35" x14ac:dyDescent="0.25">
      <c r="A423" s="48">
        <v>416</v>
      </c>
      <c r="B423" s="53" t="s">
        <v>3553</v>
      </c>
      <c r="C423" s="54" t="s">
        <v>94</v>
      </c>
      <c r="D423" s="55">
        <v>34665</v>
      </c>
      <c r="E423" s="54" t="s">
        <v>40</v>
      </c>
      <c r="F423" s="53"/>
      <c r="G423" s="54" t="s">
        <v>548</v>
      </c>
      <c r="H423" s="54"/>
      <c r="I423" s="54"/>
      <c r="J423" s="54" t="s">
        <v>3554</v>
      </c>
      <c r="K423" s="54"/>
      <c r="L423" s="54"/>
      <c r="M423" s="54"/>
      <c r="N423" s="54"/>
      <c r="O423" s="54"/>
      <c r="P423" s="54"/>
      <c r="Q423" s="54" t="s">
        <v>3555</v>
      </c>
      <c r="R423" s="57" t="s">
        <v>74</v>
      </c>
      <c r="S423" s="54" t="s">
        <v>3556</v>
      </c>
      <c r="T423" s="54"/>
      <c r="U423" s="54" t="s">
        <v>3557</v>
      </c>
      <c r="V423" s="55">
        <v>43523</v>
      </c>
      <c r="W423" s="54"/>
      <c r="X423" s="54"/>
      <c r="Y423" s="54" t="s">
        <v>85</v>
      </c>
      <c r="Z423" s="54"/>
      <c r="AA423" s="54"/>
      <c r="AB423" s="54"/>
      <c r="AC423" s="58">
        <v>43839</v>
      </c>
      <c r="AD423" s="7"/>
      <c r="AE423" s="7"/>
      <c r="AF423" s="46" t="str">
        <f>IF(R423="","",RIGHT(R423,LEN(R423)-FIND("@",R423)))</f>
        <v/>
      </c>
      <c r="AG423" s="47">
        <f>LEN(R423)-LEN(SUBSTITUTE(R423," ",""))</f>
        <v>0</v>
      </c>
      <c r="AH423" s="46" t="str">
        <f>SUBSTITUTE(R423," ","")</f>
        <v/>
      </c>
      <c r="AI423" s="46">
        <f>LEN(AH423)-LEN(SUBSTITUTE(AH423," ",""))</f>
        <v>0</v>
      </c>
    </row>
    <row r="424" spans="1:35" x14ac:dyDescent="0.25">
      <c r="A424" s="36">
        <v>417</v>
      </c>
      <c r="B424" s="37" t="s">
        <v>3558</v>
      </c>
      <c r="C424" s="38" t="s">
        <v>267</v>
      </c>
      <c r="D424" s="39">
        <v>27209</v>
      </c>
      <c r="E424" s="38" t="s">
        <v>40</v>
      </c>
      <c r="F424" s="38" t="s">
        <v>48</v>
      </c>
      <c r="G424" s="38" t="s">
        <v>3559</v>
      </c>
      <c r="H424" s="38" t="s">
        <v>510</v>
      </c>
      <c r="I424" s="38" t="s">
        <v>44</v>
      </c>
      <c r="J424" s="38" t="s">
        <v>3560</v>
      </c>
      <c r="K424" s="38" t="s">
        <v>3561</v>
      </c>
      <c r="L424" s="38" t="s">
        <v>3562</v>
      </c>
      <c r="M424" s="38" t="s">
        <v>133</v>
      </c>
      <c r="N424" s="38" t="s">
        <v>3563</v>
      </c>
      <c r="O424" s="38" t="s">
        <v>76</v>
      </c>
      <c r="P424" s="38">
        <v>19080964661</v>
      </c>
      <c r="Q424" s="38" t="s">
        <v>3564</v>
      </c>
      <c r="R424" s="50" t="s">
        <v>3565</v>
      </c>
      <c r="S424" s="38" t="s">
        <v>3566</v>
      </c>
      <c r="T424" s="38" t="s">
        <v>412</v>
      </c>
      <c r="U424" s="38" t="s">
        <v>3567</v>
      </c>
      <c r="V424" s="60">
        <v>43525</v>
      </c>
      <c r="W424" s="40" t="s">
        <v>3568</v>
      </c>
      <c r="X424" s="38">
        <v>1397</v>
      </c>
      <c r="Y424" s="38" t="s">
        <v>52</v>
      </c>
      <c r="Z424" s="38" t="s">
        <v>108</v>
      </c>
      <c r="AA424" s="38" t="s">
        <v>3569</v>
      </c>
      <c r="AB424" s="38" t="s">
        <v>55</v>
      </c>
      <c r="AC424" s="45"/>
      <c r="AD424" s="7"/>
      <c r="AE424" s="7"/>
      <c r="AF424" s="46" t="str">
        <f>IF(R424="","",RIGHT(R424,LEN(R424)-FIND("@",R424)))</f>
        <v>gmail.com</v>
      </c>
      <c r="AG424" s="47">
        <f>LEN(R424)-LEN(SUBSTITUTE(R424," ",""))</f>
        <v>0</v>
      </c>
      <c r="AH424" s="46" t="str">
        <f>SUBSTITUTE(R424," ","")</f>
        <v>imambudi0629@gmail.com</v>
      </c>
      <c r="AI424" s="46">
        <f>LEN(AH424)-LEN(SUBSTITUTE(AH424," ",""))</f>
        <v>0</v>
      </c>
    </row>
    <row r="425" spans="1:35" x14ac:dyDescent="0.25">
      <c r="A425" s="36">
        <v>418</v>
      </c>
      <c r="B425" s="37" t="s">
        <v>3570</v>
      </c>
      <c r="C425" s="38" t="s">
        <v>94</v>
      </c>
      <c r="D425" s="39">
        <v>35528</v>
      </c>
      <c r="E425" s="38" t="s">
        <v>40</v>
      </c>
      <c r="F425" s="38" t="s">
        <v>304</v>
      </c>
      <c r="G425" s="38" t="s">
        <v>3571</v>
      </c>
      <c r="H425" s="38" t="s">
        <v>72</v>
      </c>
      <c r="I425" s="38" t="s">
        <v>114</v>
      </c>
      <c r="J425" s="40" t="s">
        <v>3572</v>
      </c>
      <c r="K425" s="40" t="s">
        <v>3573</v>
      </c>
      <c r="L425" s="40"/>
      <c r="M425" s="38" t="s">
        <v>99</v>
      </c>
      <c r="N425" s="40" t="s">
        <v>3574</v>
      </c>
      <c r="O425" s="40" t="s">
        <v>76</v>
      </c>
      <c r="P425" s="40" t="s">
        <v>3575</v>
      </c>
      <c r="Q425" s="40" t="s">
        <v>3576</v>
      </c>
      <c r="R425" s="50" t="s">
        <v>3577</v>
      </c>
      <c r="S425" s="38" t="s">
        <v>3578</v>
      </c>
      <c r="T425" s="38" t="s">
        <v>613</v>
      </c>
      <c r="U425" s="40" t="s">
        <v>3579</v>
      </c>
      <c r="V425" s="60">
        <v>43528</v>
      </c>
      <c r="W425" s="41" t="s">
        <v>3580</v>
      </c>
      <c r="X425" s="38">
        <v>1391</v>
      </c>
      <c r="Y425" s="38" t="s">
        <v>52</v>
      </c>
      <c r="Z425" s="38" t="s">
        <v>396</v>
      </c>
      <c r="AA425" s="38" t="s">
        <v>500</v>
      </c>
      <c r="AB425" s="38" t="s">
        <v>214</v>
      </c>
      <c r="AC425" s="45"/>
      <c r="AD425" s="7"/>
      <c r="AE425" s="7"/>
      <c r="AF425" s="46" t="str">
        <f>IF(R425="","",RIGHT(R425,LEN(R425)-FIND("@",R425)))</f>
        <v>gmail.com</v>
      </c>
      <c r="AG425" s="47">
        <f>LEN(R425)-LEN(SUBSTITUTE(R425," ",""))</f>
        <v>0</v>
      </c>
      <c r="AH425" s="46" t="str">
        <f>SUBSTITUTE(R425," ","")</f>
        <v>aryesthaputra08@gmail.com</v>
      </c>
      <c r="AI425" s="46">
        <f>LEN(AH425)-LEN(SUBSTITUTE(AH425," ",""))</f>
        <v>0</v>
      </c>
    </row>
    <row r="426" spans="1:35" x14ac:dyDescent="0.25">
      <c r="A426" s="36">
        <v>419</v>
      </c>
      <c r="B426" s="37" t="s">
        <v>3581</v>
      </c>
      <c r="C426" s="38" t="s">
        <v>3582</v>
      </c>
      <c r="D426" s="39">
        <v>36460</v>
      </c>
      <c r="E426" s="38" t="s">
        <v>40</v>
      </c>
      <c r="F426" s="38" t="s">
        <v>48</v>
      </c>
      <c r="G426" s="38" t="s">
        <v>3583</v>
      </c>
      <c r="H426" s="38" t="s">
        <v>510</v>
      </c>
      <c r="I426" s="38" t="s">
        <v>114</v>
      </c>
      <c r="J426" s="41" t="s">
        <v>3584</v>
      </c>
      <c r="K426" s="41" t="s">
        <v>3585</v>
      </c>
      <c r="L426" s="41"/>
      <c r="M426" s="38" t="s">
        <v>99</v>
      </c>
      <c r="N426" s="43" t="s">
        <v>3586</v>
      </c>
      <c r="O426" s="43" t="s">
        <v>76</v>
      </c>
      <c r="P426" s="89" t="s">
        <v>3587</v>
      </c>
      <c r="Q426" s="41" t="s">
        <v>3588</v>
      </c>
      <c r="R426" s="50" t="s">
        <v>3589</v>
      </c>
      <c r="S426" s="38" t="s">
        <v>3590</v>
      </c>
      <c r="T426" s="38" t="s">
        <v>65</v>
      </c>
      <c r="U426" s="38" t="s">
        <v>3591</v>
      </c>
      <c r="V426" s="60">
        <v>43528</v>
      </c>
      <c r="W426" s="41" t="s">
        <v>3592</v>
      </c>
      <c r="X426" s="38">
        <v>1396</v>
      </c>
      <c r="Y426" s="38" t="s">
        <v>52</v>
      </c>
      <c r="Z426" s="38" t="s">
        <v>156</v>
      </c>
      <c r="AA426" s="38" t="s">
        <v>125</v>
      </c>
      <c r="AB426" s="38" t="s">
        <v>193</v>
      </c>
      <c r="AC426" s="45"/>
      <c r="AD426" s="7"/>
      <c r="AE426" s="7"/>
      <c r="AF426" s="46" t="str">
        <f>IF(R426="","",RIGHT(R426,LEN(R426)-FIND("@",R426)))</f>
        <v>gmail.com</v>
      </c>
      <c r="AG426" s="47">
        <f>LEN(R426)-LEN(SUBSTITUTE(R426," ",""))</f>
        <v>0</v>
      </c>
      <c r="AH426" s="46" t="str">
        <f>SUBSTITUTE(R426," ","")</f>
        <v>haryantorhyno@gmail.com</v>
      </c>
      <c r="AI426" s="46">
        <f>LEN(AH426)-LEN(SUBSTITUTE(AH426," ",""))</f>
        <v>0</v>
      </c>
    </row>
    <row r="427" spans="1:35" x14ac:dyDescent="0.25">
      <c r="A427" s="36">
        <v>420</v>
      </c>
      <c r="B427" s="53" t="s">
        <v>3593</v>
      </c>
      <c r="C427" s="54" t="s">
        <v>3594</v>
      </c>
      <c r="D427" s="55">
        <v>33923</v>
      </c>
      <c r="E427" s="54" t="s">
        <v>95</v>
      </c>
      <c r="F427" s="53"/>
      <c r="G427" s="54" t="s">
        <v>3595</v>
      </c>
      <c r="H427" s="54"/>
      <c r="I427" s="54"/>
      <c r="J427" s="54" t="s">
        <v>3596</v>
      </c>
      <c r="K427" s="54"/>
      <c r="L427" s="54"/>
      <c r="M427" s="54" t="s">
        <v>99</v>
      </c>
      <c r="N427" s="54"/>
      <c r="O427" s="54"/>
      <c r="P427" s="54"/>
      <c r="Q427" s="54" t="s">
        <v>3597</v>
      </c>
      <c r="R427" s="57" t="s">
        <v>74</v>
      </c>
      <c r="S427" s="54" t="s">
        <v>3598</v>
      </c>
      <c r="T427" s="54"/>
      <c r="U427" s="54" t="s">
        <v>3599</v>
      </c>
      <c r="V427" s="55">
        <v>43528</v>
      </c>
      <c r="W427" s="54"/>
      <c r="X427" s="54"/>
      <c r="Y427" s="54" t="s">
        <v>85</v>
      </c>
      <c r="Z427" s="54"/>
      <c r="AA427" s="54"/>
      <c r="AB427" s="54"/>
      <c r="AC427" s="58">
        <v>43826</v>
      </c>
      <c r="AD427" s="7"/>
      <c r="AE427" s="7"/>
      <c r="AF427" s="46"/>
      <c r="AG427" s="47"/>
      <c r="AH427" s="46"/>
      <c r="AI427" s="46"/>
    </row>
    <row r="428" spans="1:35" x14ac:dyDescent="0.25">
      <c r="A428" s="36">
        <v>421</v>
      </c>
      <c r="B428" s="37" t="s">
        <v>3600</v>
      </c>
      <c r="C428" s="38" t="s">
        <v>2035</v>
      </c>
      <c r="D428" s="39">
        <v>33139</v>
      </c>
      <c r="E428" s="38" t="s">
        <v>40</v>
      </c>
      <c r="F428" s="40" t="s">
        <v>48</v>
      </c>
      <c r="G428" s="38" t="s">
        <v>3601</v>
      </c>
      <c r="H428" s="38" t="s">
        <v>113</v>
      </c>
      <c r="I428" s="38" t="s">
        <v>114</v>
      </c>
      <c r="J428" s="41" t="s">
        <v>3602</v>
      </c>
      <c r="K428" s="41" t="s">
        <v>2038</v>
      </c>
      <c r="L428" s="43"/>
      <c r="M428" s="38" t="s">
        <v>99</v>
      </c>
      <c r="N428" s="43" t="s">
        <v>3603</v>
      </c>
      <c r="O428" s="43" t="s">
        <v>147</v>
      </c>
      <c r="P428" s="41" t="s">
        <v>3604</v>
      </c>
      <c r="Q428" s="43" t="s">
        <v>3605</v>
      </c>
      <c r="R428" s="50" t="s">
        <v>3606</v>
      </c>
      <c r="S428" s="38" t="s">
        <v>2043</v>
      </c>
      <c r="T428" s="38" t="s">
        <v>3607</v>
      </c>
      <c r="U428" s="38" t="s">
        <v>3608</v>
      </c>
      <c r="V428" s="60">
        <v>43529</v>
      </c>
      <c r="W428" s="41" t="s">
        <v>3609</v>
      </c>
      <c r="X428" s="38">
        <v>1398</v>
      </c>
      <c r="Y428" s="38" t="s">
        <v>52</v>
      </c>
      <c r="Z428" s="38" t="s">
        <v>3610</v>
      </c>
      <c r="AA428" s="38" t="s">
        <v>125</v>
      </c>
      <c r="AB428" s="38" t="s">
        <v>193</v>
      </c>
      <c r="AC428" s="45"/>
      <c r="AD428" s="7"/>
      <c r="AE428" s="7"/>
      <c r="AF428" s="46" t="str">
        <f>IF(R428="","",RIGHT(R428,LEN(R428)-FIND("@",R428)))</f>
        <v>gmail.com</v>
      </c>
      <c r="AG428" s="47">
        <f>LEN(R428)-LEN(SUBSTITUTE(R428," ",""))</f>
        <v>0</v>
      </c>
      <c r="AH428" s="46" t="str">
        <f>SUBSTITUTE(R428," ","")</f>
        <v>ladolegend23@gmail.com</v>
      </c>
      <c r="AI428" s="46">
        <f>LEN(AH428)-LEN(SUBSTITUTE(AH428," ",""))</f>
        <v>0</v>
      </c>
    </row>
    <row r="429" spans="1:35" x14ac:dyDescent="0.25">
      <c r="A429" s="48">
        <v>422</v>
      </c>
      <c r="B429" s="37" t="s">
        <v>3611</v>
      </c>
      <c r="C429" s="38" t="s">
        <v>3612</v>
      </c>
      <c r="D429" s="39">
        <v>35508</v>
      </c>
      <c r="E429" s="38" t="s">
        <v>40</v>
      </c>
      <c r="F429" s="40" t="s">
        <v>48</v>
      </c>
      <c r="G429" s="38" t="s">
        <v>3613</v>
      </c>
      <c r="H429" s="38" t="s">
        <v>113</v>
      </c>
      <c r="I429" s="38" t="s">
        <v>114</v>
      </c>
      <c r="J429" s="41" t="s">
        <v>3614</v>
      </c>
      <c r="K429" s="41"/>
      <c r="L429" s="43"/>
      <c r="M429" s="38" t="s">
        <v>99</v>
      </c>
      <c r="N429" s="43" t="s">
        <v>3615</v>
      </c>
      <c r="O429" s="43" t="s">
        <v>147</v>
      </c>
      <c r="P429" s="41" t="s">
        <v>3616</v>
      </c>
      <c r="Q429" s="43" t="s">
        <v>3617</v>
      </c>
      <c r="R429" s="50" t="s">
        <v>3618</v>
      </c>
      <c r="S429" s="38" t="s">
        <v>3619</v>
      </c>
      <c r="T429" s="38" t="s">
        <v>613</v>
      </c>
      <c r="U429" s="38" t="s">
        <v>3620</v>
      </c>
      <c r="V429" s="60">
        <v>43535</v>
      </c>
      <c r="W429" s="41" t="s">
        <v>3621</v>
      </c>
      <c r="X429" s="38">
        <v>1400</v>
      </c>
      <c r="Y429" s="38" t="s">
        <v>52</v>
      </c>
      <c r="Z429" s="38" t="s">
        <v>3610</v>
      </c>
      <c r="AA429" s="38" t="s">
        <v>125</v>
      </c>
      <c r="AB429" s="38" t="s">
        <v>282</v>
      </c>
      <c r="AC429" s="45"/>
      <c r="AD429" s="7"/>
      <c r="AE429" s="7"/>
      <c r="AF429" s="46" t="str">
        <f>IF(R429="","",RIGHT(R429,LEN(R429)-FIND("@",R429)))</f>
        <v>gmail.com</v>
      </c>
      <c r="AG429" s="47">
        <f>LEN(R429)-LEN(SUBSTITUTE(R429," ",""))</f>
        <v>0</v>
      </c>
      <c r="AH429" s="46" t="str">
        <f>SUBSTITUTE(R429," ","")</f>
        <v>maulakhoirul19@gmail.com</v>
      </c>
      <c r="AI429" s="46">
        <f>LEN(AH429)-LEN(SUBSTITUTE(AH429," ",""))</f>
        <v>0</v>
      </c>
    </row>
    <row r="430" spans="1:35" x14ac:dyDescent="0.25">
      <c r="A430" s="36">
        <v>423</v>
      </c>
      <c r="B430" s="37" t="s">
        <v>3622</v>
      </c>
      <c r="C430" s="38" t="s">
        <v>1065</v>
      </c>
      <c r="D430" s="39">
        <v>36306</v>
      </c>
      <c r="E430" s="38" t="s">
        <v>40</v>
      </c>
      <c r="F430" s="38" t="s">
        <v>48</v>
      </c>
      <c r="G430" s="38" t="s">
        <v>3623</v>
      </c>
      <c r="H430" s="38" t="s">
        <v>72</v>
      </c>
      <c r="I430" s="38" t="s">
        <v>114</v>
      </c>
      <c r="J430" s="41" t="s">
        <v>3624</v>
      </c>
      <c r="K430" s="41" t="s">
        <v>3625</v>
      </c>
      <c r="L430" s="41"/>
      <c r="M430" s="38" t="s">
        <v>99</v>
      </c>
      <c r="N430" s="43" t="s">
        <v>48</v>
      </c>
      <c r="O430" s="43"/>
      <c r="P430" s="41" t="s">
        <v>3626</v>
      </c>
      <c r="Q430" s="41" t="s">
        <v>3627</v>
      </c>
      <c r="R430" s="50" t="s">
        <v>3628</v>
      </c>
      <c r="S430" s="38" t="s">
        <v>3629</v>
      </c>
      <c r="T430" s="38" t="s">
        <v>152</v>
      </c>
      <c r="U430" s="38" t="s">
        <v>3630</v>
      </c>
      <c r="V430" s="60">
        <v>43535</v>
      </c>
      <c r="W430" s="41" t="s">
        <v>3631</v>
      </c>
      <c r="X430" s="38">
        <v>1399</v>
      </c>
      <c r="Y430" s="38" t="s">
        <v>52</v>
      </c>
      <c r="Z430" s="38" t="s">
        <v>3610</v>
      </c>
      <c r="AA430" s="38" t="s">
        <v>125</v>
      </c>
      <c r="AB430" s="38" t="s">
        <v>157</v>
      </c>
      <c r="AC430" s="45"/>
      <c r="AD430" s="7"/>
      <c r="AE430" s="7"/>
      <c r="AF430" s="46"/>
      <c r="AG430" s="47"/>
      <c r="AH430" s="46"/>
      <c r="AI430" s="46"/>
    </row>
    <row r="431" spans="1:35" x14ac:dyDescent="0.25">
      <c r="A431" s="36">
        <v>424</v>
      </c>
      <c r="B431" s="37" t="s">
        <v>3632</v>
      </c>
      <c r="C431" s="38" t="s">
        <v>328</v>
      </c>
      <c r="D431" s="39">
        <v>35811</v>
      </c>
      <c r="E431" s="38" t="s">
        <v>40</v>
      </c>
      <c r="F431" s="40" t="s">
        <v>48</v>
      </c>
      <c r="G431" s="38" t="s">
        <v>3633</v>
      </c>
      <c r="H431" s="38" t="s">
        <v>113</v>
      </c>
      <c r="I431" s="38" t="s">
        <v>114</v>
      </c>
      <c r="J431" s="41" t="s">
        <v>3634</v>
      </c>
      <c r="K431" s="41" t="s">
        <v>3635</v>
      </c>
      <c r="L431" s="43"/>
      <c r="M431" s="38" t="s">
        <v>99</v>
      </c>
      <c r="N431" s="43" t="s">
        <v>3636</v>
      </c>
      <c r="O431" s="43" t="s">
        <v>428</v>
      </c>
      <c r="P431" s="43" t="s">
        <v>3637</v>
      </c>
      <c r="Q431" s="41" t="s">
        <v>3638</v>
      </c>
      <c r="R431" s="50" t="s">
        <v>3639</v>
      </c>
      <c r="S431" s="38" t="s">
        <v>3640</v>
      </c>
      <c r="T431" s="38" t="s">
        <v>613</v>
      </c>
      <c r="U431" s="38" t="s">
        <v>3641</v>
      </c>
      <c r="V431" s="60">
        <v>43538</v>
      </c>
      <c r="W431" s="41" t="s">
        <v>3642</v>
      </c>
      <c r="X431" s="38">
        <v>1401</v>
      </c>
      <c r="Y431" s="38" t="s">
        <v>52</v>
      </c>
      <c r="Z431" s="38" t="s">
        <v>898</v>
      </c>
      <c r="AA431" s="38" t="s">
        <v>777</v>
      </c>
      <c r="AB431" s="38" t="s">
        <v>778</v>
      </c>
      <c r="AC431" s="45"/>
      <c r="AD431" s="7"/>
      <c r="AE431" s="7"/>
      <c r="AF431" s="46" t="str">
        <f>IF(R431="","",RIGHT(R431,LEN(R431)-FIND("@",R431)))</f>
        <v>gmail.com</v>
      </c>
      <c r="AG431" s="47">
        <f>LEN(R431)-LEN(SUBSTITUTE(R431," ",""))</f>
        <v>0</v>
      </c>
      <c r="AH431" s="46" t="str">
        <f>SUBSTITUTE(R431," ","")</f>
        <v>yolanadipurwanto22@gmail.com</v>
      </c>
      <c r="AI431" s="46">
        <f>LEN(AH431)-LEN(SUBSTITUTE(AH431," ",""))</f>
        <v>0</v>
      </c>
    </row>
    <row r="432" spans="1:35" x14ac:dyDescent="0.25">
      <c r="A432" s="36">
        <v>425</v>
      </c>
      <c r="B432" s="37" t="s">
        <v>3643</v>
      </c>
      <c r="C432" s="38" t="s">
        <v>3644</v>
      </c>
      <c r="D432" s="39">
        <v>36692</v>
      </c>
      <c r="E432" s="38" t="s">
        <v>95</v>
      </c>
      <c r="F432" s="40" t="s">
        <v>48</v>
      </c>
      <c r="G432" s="38" t="s">
        <v>3645</v>
      </c>
      <c r="H432" s="38" t="s">
        <v>113</v>
      </c>
      <c r="I432" s="38" t="s">
        <v>114</v>
      </c>
      <c r="J432" s="41" t="s">
        <v>3646</v>
      </c>
      <c r="K432" s="41" t="s">
        <v>3647</v>
      </c>
      <c r="L432" s="41"/>
      <c r="M432" s="38" t="s">
        <v>99</v>
      </c>
      <c r="N432" s="43" t="s">
        <v>3648</v>
      </c>
      <c r="O432" s="43" t="s">
        <v>428</v>
      </c>
      <c r="P432" s="41" t="s">
        <v>3649</v>
      </c>
      <c r="Q432" s="41" t="s">
        <v>3650</v>
      </c>
      <c r="R432" s="50" t="s">
        <v>3651</v>
      </c>
      <c r="S432" s="38" t="s">
        <v>3652</v>
      </c>
      <c r="T432" s="38" t="s">
        <v>3653</v>
      </c>
      <c r="U432" s="38">
        <v>85330772192</v>
      </c>
      <c r="V432" s="60">
        <v>43542</v>
      </c>
      <c r="W432" s="41" t="s">
        <v>3654</v>
      </c>
      <c r="X432" s="38">
        <v>1403</v>
      </c>
      <c r="Y432" s="38" t="s">
        <v>52</v>
      </c>
      <c r="Z432" s="38" t="s">
        <v>172</v>
      </c>
      <c r="AA432" s="38" t="s">
        <v>125</v>
      </c>
      <c r="AB432" s="38" t="s">
        <v>1026</v>
      </c>
      <c r="AC432" s="45"/>
      <c r="AD432" s="7"/>
      <c r="AE432" s="7"/>
      <c r="AF432" s="46" t="str">
        <f>IF(R432="","",RIGHT(R432,LEN(R432)-FIND("@",R432)))</f>
        <v>gmail.com</v>
      </c>
      <c r="AG432" s="47">
        <f>LEN(R432)-LEN(SUBSTITUTE(R432," ",""))</f>
        <v>0</v>
      </c>
      <c r="AH432" s="46" t="str">
        <f>SUBSTITUTE(R432," ","")</f>
        <v>wostiqomahsulsilah@gmail.com</v>
      </c>
      <c r="AI432" s="46">
        <f>LEN(AH432)-LEN(SUBSTITUTE(AH432," ",""))</f>
        <v>0</v>
      </c>
    </row>
    <row r="433" spans="1:35" x14ac:dyDescent="0.25">
      <c r="A433" s="36">
        <v>426</v>
      </c>
      <c r="B433" s="37" t="s">
        <v>3655</v>
      </c>
      <c r="C433" s="38" t="s">
        <v>94</v>
      </c>
      <c r="D433" s="39">
        <v>35761</v>
      </c>
      <c r="E433" s="38" t="s">
        <v>40</v>
      </c>
      <c r="F433" s="40" t="s">
        <v>48</v>
      </c>
      <c r="G433" s="38" t="s">
        <v>3656</v>
      </c>
      <c r="H433" s="38" t="s">
        <v>72</v>
      </c>
      <c r="I433" s="38" t="s">
        <v>114</v>
      </c>
      <c r="J433" s="41" t="s">
        <v>3657</v>
      </c>
      <c r="K433" s="41"/>
      <c r="L433" s="43"/>
      <c r="M433" s="38" t="s">
        <v>99</v>
      </c>
      <c r="N433" s="43" t="s">
        <v>3658</v>
      </c>
      <c r="O433" s="43" t="s">
        <v>164</v>
      </c>
      <c r="P433" s="43" t="s">
        <v>3659</v>
      </c>
      <c r="Q433" s="41"/>
      <c r="R433" s="50" t="s">
        <v>3660</v>
      </c>
      <c r="S433" s="38" t="s">
        <v>3661</v>
      </c>
      <c r="T433" s="38"/>
      <c r="U433" s="38"/>
      <c r="V433" s="60">
        <v>43542</v>
      </c>
      <c r="W433" s="41" t="s">
        <v>3662</v>
      </c>
      <c r="X433" s="38">
        <v>1407</v>
      </c>
      <c r="Y433" s="38" t="s">
        <v>52</v>
      </c>
      <c r="Z433" s="38" t="s">
        <v>1816</v>
      </c>
      <c r="AA433" s="38" t="s">
        <v>777</v>
      </c>
      <c r="AB433" s="38" t="s">
        <v>778</v>
      </c>
      <c r="AC433" s="45"/>
      <c r="AD433" s="7"/>
      <c r="AE433" s="7"/>
      <c r="AF433" s="46"/>
      <c r="AG433" s="47"/>
      <c r="AH433" s="46"/>
      <c r="AI433" s="46"/>
    </row>
    <row r="434" spans="1:35" x14ac:dyDescent="0.25">
      <c r="A434" s="36">
        <v>427</v>
      </c>
      <c r="B434" s="53" t="s">
        <v>3663</v>
      </c>
      <c r="C434" s="54" t="s">
        <v>3439</v>
      </c>
      <c r="D434" s="55">
        <v>35818</v>
      </c>
      <c r="E434" s="54" t="s">
        <v>40</v>
      </c>
      <c r="F434" s="53"/>
      <c r="G434" s="54" t="s">
        <v>3664</v>
      </c>
      <c r="H434" s="54"/>
      <c r="I434" s="54"/>
      <c r="J434" s="54" t="s">
        <v>3665</v>
      </c>
      <c r="K434" s="54"/>
      <c r="L434" s="54"/>
      <c r="M434" s="54"/>
      <c r="N434" s="54"/>
      <c r="O434" s="54"/>
      <c r="P434" s="54"/>
      <c r="Q434" s="54" t="s">
        <v>3666</v>
      </c>
      <c r="R434" s="57" t="s">
        <v>74</v>
      </c>
      <c r="S434" s="54" t="s">
        <v>3667</v>
      </c>
      <c r="T434" s="54"/>
      <c r="U434" s="54" t="s">
        <v>3668</v>
      </c>
      <c r="V434" s="55">
        <v>43542</v>
      </c>
      <c r="W434" s="54"/>
      <c r="X434" s="54"/>
      <c r="Y434" s="54" t="s">
        <v>85</v>
      </c>
      <c r="Z434" s="54"/>
      <c r="AA434" s="54"/>
      <c r="AB434" s="54"/>
      <c r="AC434" s="58">
        <v>43617</v>
      </c>
      <c r="AD434" s="7"/>
      <c r="AE434" s="7"/>
      <c r="AF434" s="46" t="str">
        <f>IF(R434="","",RIGHT(R434,LEN(R434)-FIND("@",R434)))</f>
        <v/>
      </c>
      <c r="AG434" s="47">
        <f>LEN(R434)-LEN(SUBSTITUTE(R434," ",""))</f>
        <v>0</v>
      </c>
      <c r="AH434" s="46" t="str">
        <f>SUBSTITUTE(R434," ","")</f>
        <v/>
      </c>
      <c r="AI434" s="46">
        <f>LEN(AH434)-LEN(SUBSTITUTE(AH434," ",""))</f>
        <v>0</v>
      </c>
    </row>
    <row r="435" spans="1:35" x14ac:dyDescent="0.25">
      <c r="A435" s="48">
        <v>428</v>
      </c>
      <c r="B435" s="53" t="s">
        <v>3669</v>
      </c>
      <c r="C435" s="54" t="s">
        <v>328</v>
      </c>
      <c r="D435" s="55">
        <v>34558</v>
      </c>
      <c r="E435" s="54" t="s">
        <v>40</v>
      </c>
      <c r="F435" s="53"/>
      <c r="G435" s="54" t="s">
        <v>3670</v>
      </c>
      <c r="H435" s="54"/>
      <c r="I435" s="54"/>
      <c r="J435" s="54" t="s">
        <v>3671</v>
      </c>
      <c r="K435" s="54"/>
      <c r="L435" s="54"/>
      <c r="M435" s="54"/>
      <c r="N435" s="54"/>
      <c r="O435" s="54"/>
      <c r="P435" s="54"/>
      <c r="Q435" s="54" t="s">
        <v>3672</v>
      </c>
      <c r="R435" s="57" t="s">
        <v>74</v>
      </c>
      <c r="S435" s="54" t="s">
        <v>3673</v>
      </c>
      <c r="T435" s="54"/>
      <c r="U435" s="54" t="s">
        <v>3674</v>
      </c>
      <c r="V435" s="55">
        <v>43542</v>
      </c>
      <c r="W435" s="54"/>
      <c r="X435" s="54"/>
      <c r="Y435" s="54" t="s">
        <v>85</v>
      </c>
      <c r="Z435" s="54"/>
      <c r="AA435" s="54"/>
      <c r="AB435" s="54"/>
      <c r="AC435" s="58">
        <v>43633</v>
      </c>
      <c r="AD435" s="7"/>
      <c r="AE435" s="7"/>
      <c r="AF435" s="46" t="str">
        <f>IF(R435="","",RIGHT(R435,LEN(R435)-FIND("@",R435)))</f>
        <v/>
      </c>
      <c r="AG435" s="47">
        <f>LEN(R435)-LEN(SUBSTITUTE(R435," ",""))</f>
        <v>0</v>
      </c>
      <c r="AH435" s="46" t="str">
        <f>SUBSTITUTE(R435," ","")</f>
        <v/>
      </c>
      <c r="AI435" s="46">
        <f>LEN(AH435)-LEN(SUBSTITUTE(AH435," ",""))</f>
        <v>0</v>
      </c>
    </row>
    <row r="436" spans="1:35" x14ac:dyDescent="0.25">
      <c r="A436" s="36">
        <v>429</v>
      </c>
      <c r="B436" s="53" t="s">
        <v>3675</v>
      </c>
      <c r="C436" s="54" t="s">
        <v>3676</v>
      </c>
      <c r="D436" s="55">
        <v>34648</v>
      </c>
      <c r="E436" s="54" t="s">
        <v>40</v>
      </c>
      <c r="F436" s="53"/>
      <c r="G436" s="54" t="s">
        <v>3677</v>
      </c>
      <c r="H436" s="54"/>
      <c r="I436" s="54"/>
      <c r="J436" s="54" t="s">
        <v>3678</v>
      </c>
      <c r="K436" s="54"/>
      <c r="L436" s="54"/>
      <c r="M436" s="54"/>
      <c r="N436" s="54"/>
      <c r="O436" s="54"/>
      <c r="P436" s="54"/>
      <c r="Q436" s="54" t="s">
        <v>3679</v>
      </c>
      <c r="R436" s="57" t="s">
        <v>74</v>
      </c>
      <c r="S436" s="54" t="s">
        <v>3680</v>
      </c>
      <c r="T436" s="54"/>
      <c r="U436" s="54" t="s">
        <v>3681</v>
      </c>
      <c r="V436" s="55">
        <v>43542</v>
      </c>
      <c r="W436" s="54"/>
      <c r="X436" s="54"/>
      <c r="Y436" s="54" t="s">
        <v>85</v>
      </c>
      <c r="Z436" s="54"/>
      <c r="AA436" s="54"/>
      <c r="AB436" s="54"/>
      <c r="AC436" s="58">
        <v>43647</v>
      </c>
      <c r="AD436" s="7"/>
      <c r="AE436" s="7"/>
      <c r="AF436" s="46"/>
      <c r="AG436" s="47"/>
      <c r="AH436" s="46"/>
      <c r="AI436" s="46"/>
    </row>
    <row r="437" spans="1:35" x14ac:dyDescent="0.25">
      <c r="A437" s="36">
        <v>430</v>
      </c>
      <c r="B437" s="53" t="s">
        <v>3682</v>
      </c>
      <c r="C437" s="54" t="s">
        <v>3683</v>
      </c>
      <c r="D437" s="55">
        <v>34091</v>
      </c>
      <c r="E437" s="54" t="s">
        <v>95</v>
      </c>
      <c r="F437" s="53"/>
      <c r="G437" s="54" t="s">
        <v>3684</v>
      </c>
      <c r="H437" s="54"/>
      <c r="I437" s="54"/>
      <c r="J437" s="54" t="s">
        <v>3685</v>
      </c>
      <c r="K437" s="54"/>
      <c r="L437" s="54"/>
      <c r="M437" s="54" t="s">
        <v>99</v>
      </c>
      <c r="N437" s="54"/>
      <c r="O437" s="54"/>
      <c r="P437" s="54"/>
      <c r="Q437" s="54" t="s">
        <v>3686</v>
      </c>
      <c r="R437" s="57" t="s">
        <v>74</v>
      </c>
      <c r="S437" s="54" t="s">
        <v>3687</v>
      </c>
      <c r="T437" s="54"/>
      <c r="U437" s="54" t="s">
        <v>3688</v>
      </c>
      <c r="V437" s="55">
        <v>43542</v>
      </c>
      <c r="W437" s="54"/>
      <c r="X437" s="54"/>
      <c r="Y437" s="54" t="s">
        <v>85</v>
      </c>
      <c r="Z437" s="54"/>
      <c r="AA437" s="54"/>
      <c r="AB437" s="54"/>
      <c r="AC437" s="58">
        <v>43870</v>
      </c>
      <c r="AD437" s="7"/>
      <c r="AE437" s="7"/>
      <c r="AF437" s="46"/>
      <c r="AG437" s="47"/>
      <c r="AH437" s="46"/>
      <c r="AI437" s="46"/>
    </row>
    <row r="438" spans="1:35" x14ac:dyDescent="0.25">
      <c r="A438" s="36">
        <v>431</v>
      </c>
      <c r="B438" s="37" t="s">
        <v>3689</v>
      </c>
      <c r="C438" s="38" t="s">
        <v>3690</v>
      </c>
      <c r="D438" s="39">
        <v>35494</v>
      </c>
      <c r="E438" s="38" t="s">
        <v>40</v>
      </c>
      <c r="F438" s="38" t="s">
        <v>41</v>
      </c>
      <c r="G438" s="38" t="s">
        <v>3691</v>
      </c>
      <c r="H438" s="38" t="s">
        <v>72</v>
      </c>
      <c r="I438" s="38" t="s">
        <v>114</v>
      </c>
      <c r="J438" s="41" t="s">
        <v>3692</v>
      </c>
      <c r="K438" s="41" t="s">
        <v>3693</v>
      </c>
      <c r="L438" s="43"/>
      <c r="M438" s="38" t="s">
        <v>99</v>
      </c>
      <c r="N438" s="43" t="s">
        <v>3694</v>
      </c>
      <c r="O438" s="43" t="s">
        <v>428</v>
      </c>
      <c r="P438" s="41" t="s">
        <v>3695</v>
      </c>
      <c r="Q438" s="41"/>
      <c r="R438" s="50" t="s">
        <v>3696</v>
      </c>
      <c r="S438" s="38"/>
      <c r="T438" s="38"/>
      <c r="U438" s="38"/>
      <c r="V438" s="60">
        <v>43543</v>
      </c>
      <c r="W438" s="41" t="s">
        <v>3697</v>
      </c>
      <c r="X438" s="38">
        <v>1408</v>
      </c>
      <c r="Y438" s="38" t="s">
        <v>52</v>
      </c>
      <c r="Z438" s="38" t="s">
        <v>898</v>
      </c>
      <c r="AA438" s="38" t="s">
        <v>777</v>
      </c>
      <c r="AB438" s="38" t="s">
        <v>778</v>
      </c>
      <c r="AC438" s="45"/>
      <c r="AD438" s="7"/>
      <c r="AE438" s="7"/>
      <c r="AF438" s="46"/>
      <c r="AG438" s="47"/>
      <c r="AH438" s="46"/>
      <c r="AI438" s="46"/>
    </row>
    <row r="439" spans="1:35" x14ac:dyDescent="0.25">
      <c r="A439" s="36">
        <v>432</v>
      </c>
      <c r="B439" s="37" t="s">
        <v>3698</v>
      </c>
      <c r="C439" s="38" t="s">
        <v>3699</v>
      </c>
      <c r="D439" s="39">
        <v>34827</v>
      </c>
      <c r="E439" s="38" t="s">
        <v>95</v>
      </c>
      <c r="F439" s="38" t="s">
        <v>48</v>
      </c>
      <c r="G439" s="38" t="s">
        <v>3700</v>
      </c>
      <c r="H439" s="38" t="s">
        <v>72</v>
      </c>
      <c r="I439" s="38" t="s">
        <v>114</v>
      </c>
      <c r="J439" s="38" t="s">
        <v>3701</v>
      </c>
      <c r="K439" s="38" t="s">
        <v>3702</v>
      </c>
      <c r="L439" s="38"/>
      <c r="M439" s="38" t="s">
        <v>99</v>
      </c>
      <c r="N439" s="38" t="s">
        <v>3703</v>
      </c>
      <c r="O439" s="38" t="s">
        <v>76</v>
      </c>
      <c r="P439" s="38">
        <v>19080964596</v>
      </c>
      <c r="Q439" s="38" t="s">
        <v>3704</v>
      </c>
      <c r="R439" s="50" t="s">
        <v>3705</v>
      </c>
      <c r="S439" s="38" t="s">
        <v>3706</v>
      </c>
      <c r="T439" s="38" t="s">
        <v>412</v>
      </c>
      <c r="U439" s="38" t="s">
        <v>3707</v>
      </c>
      <c r="V439" s="60">
        <v>43556</v>
      </c>
      <c r="W439" s="41" t="s">
        <v>3708</v>
      </c>
      <c r="X439" s="38">
        <v>1409</v>
      </c>
      <c r="Y439" s="38" t="s">
        <v>52</v>
      </c>
      <c r="Z439" s="38" t="s">
        <v>226</v>
      </c>
      <c r="AA439" s="38" t="s">
        <v>3569</v>
      </c>
      <c r="AB439" s="38" t="s">
        <v>55</v>
      </c>
      <c r="AC439" s="45"/>
      <c r="AD439" s="7"/>
      <c r="AE439" s="7"/>
      <c r="AF439" s="46" t="str">
        <f>IF(R439="","",RIGHT(R439,LEN(R439)-FIND("@",R439)))</f>
        <v>gmail.com</v>
      </c>
      <c r="AG439" s="47">
        <f>LEN(R439)-LEN(SUBSTITUTE(R439," ",""))</f>
        <v>0</v>
      </c>
      <c r="AH439" s="46" t="str">
        <f>SUBSTITUTE(R439," ","")</f>
        <v>wayanmelaningsih@gmail.com</v>
      </c>
      <c r="AI439" s="46">
        <f>LEN(AH439)-LEN(SUBSTITUTE(AH439," ",""))</f>
        <v>0</v>
      </c>
    </row>
    <row r="440" spans="1:35" x14ac:dyDescent="0.25">
      <c r="A440" s="36">
        <v>433</v>
      </c>
      <c r="B440" s="37" t="s">
        <v>3709</v>
      </c>
      <c r="C440" s="38" t="s">
        <v>548</v>
      </c>
      <c r="D440" s="39">
        <v>36446</v>
      </c>
      <c r="E440" s="38" t="s">
        <v>40</v>
      </c>
      <c r="F440" s="40" t="s">
        <v>48</v>
      </c>
      <c r="G440" s="38" t="s">
        <v>3710</v>
      </c>
      <c r="H440" s="38" t="s">
        <v>113</v>
      </c>
      <c r="I440" s="38" t="s">
        <v>114</v>
      </c>
      <c r="J440" s="41" t="s">
        <v>3711</v>
      </c>
      <c r="K440" s="41" t="s">
        <v>3712</v>
      </c>
      <c r="L440" s="43"/>
      <c r="M440" s="38" t="s">
        <v>99</v>
      </c>
      <c r="N440" s="43" t="s">
        <v>3713</v>
      </c>
      <c r="O440" s="38" t="s">
        <v>76</v>
      </c>
      <c r="P440" s="41" t="s">
        <v>3714</v>
      </c>
      <c r="Q440" s="41" t="s">
        <v>3715</v>
      </c>
      <c r="R440" s="50" t="s">
        <v>3716</v>
      </c>
      <c r="S440" s="38" t="s">
        <v>3717</v>
      </c>
      <c r="T440" s="38" t="s">
        <v>3718</v>
      </c>
      <c r="U440" s="38" t="s">
        <v>3719</v>
      </c>
      <c r="V440" s="52">
        <v>43558</v>
      </c>
      <c r="W440" s="43" t="s">
        <v>3720</v>
      </c>
      <c r="X440" s="38">
        <v>1411</v>
      </c>
      <c r="Y440" s="38" t="s">
        <v>52</v>
      </c>
      <c r="Z440" s="38" t="s">
        <v>1816</v>
      </c>
      <c r="AA440" s="38" t="s">
        <v>777</v>
      </c>
      <c r="AB440" s="38" t="s">
        <v>778</v>
      </c>
      <c r="AC440" s="45"/>
      <c r="AD440" s="7"/>
      <c r="AE440" s="7"/>
      <c r="AF440" s="46" t="str">
        <f>IF(R440="","",RIGHT(R440,LEN(R440)-FIND("@",R440)))</f>
        <v>gmail.com</v>
      </c>
      <c r="AG440" s="47">
        <f>LEN(R440)-LEN(SUBSTITUTE(R440," ",""))</f>
        <v>0</v>
      </c>
      <c r="AH440" s="46" t="str">
        <f>SUBSTITUTE(R440," ","")</f>
        <v>bagoesr78@gmail.com</v>
      </c>
      <c r="AI440" s="46">
        <f>LEN(AH440)-LEN(SUBSTITUTE(AH440," ",""))</f>
        <v>0</v>
      </c>
    </row>
    <row r="441" spans="1:35" x14ac:dyDescent="0.25">
      <c r="A441" s="48">
        <v>434</v>
      </c>
      <c r="B441" s="53" t="s">
        <v>3721</v>
      </c>
      <c r="C441" s="54" t="s">
        <v>548</v>
      </c>
      <c r="D441" s="55">
        <v>34799</v>
      </c>
      <c r="E441" s="54" t="s">
        <v>40</v>
      </c>
      <c r="F441" s="53"/>
      <c r="G441" s="54" t="s">
        <v>3722</v>
      </c>
      <c r="H441" s="54"/>
      <c r="I441" s="54"/>
      <c r="J441" s="54" t="s">
        <v>3723</v>
      </c>
      <c r="K441" s="54"/>
      <c r="L441" s="54"/>
      <c r="M441" s="54"/>
      <c r="N441" s="54"/>
      <c r="O441" s="54"/>
      <c r="P441" s="54"/>
      <c r="Q441" s="54" t="s">
        <v>3724</v>
      </c>
      <c r="R441" s="57" t="s">
        <v>74</v>
      </c>
      <c r="S441" s="54" t="s">
        <v>3725</v>
      </c>
      <c r="T441" s="54"/>
      <c r="U441" s="54" t="s">
        <v>3726</v>
      </c>
      <c r="V441" s="55">
        <v>43558</v>
      </c>
      <c r="W441" s="54"/>
      <c r="X441" s="54"/>
      <c r="Y441" s="54" t="s">
        <v>85</v>
      </c>
      <c r="Z441" s="54"/>
      <c r="AA441" s="54"/>
      <c r="AB441" s="54"/>
      <c r="AC441" s="58">
        <v>43708</v>
      </c>
      <c r="AD441" s="7"/>
      <c r="AE441" s="7"/>
      <c r="AF441" s="46"/>
      <c r="AG441" s="47"/>
      <c r="AH441" s="46"/>
      <c r="AI441" s="46"/>
    </row>
    <row r="442" spans="1:35" x14ac:dyDescent="0.25">
      <c r="A442" s="36">
        <v>435</v>
      </c>
      <c r="B442" s="53" t="s">
        <v>3727</v>
      </c>
      <c r="C442" s="54" t="s">
        <v>328</v>
      </c>
      <c r="D442" s="55">
        <v>33916</v>
      </c>
      <c r="E442" s="54" t="s">
        <v>40</v>
      </c>
      <c r="F442" s="53"/>
      <c r="G442" s="54" t="s">
        <v>3728</v>
      </c>
      <c r="H442" s="54"/>
      <c r="I442" s="54"/>
      <c r="J442" s="54" t="s">
        <v>3729</v>
      </c>
      <c r="K442" s="54"/>
      <c r="L442" s="54"/>
      <c r="M442" s="54"/>
      <c r="N442" s="54"/>
      <c r="O442" s="54"/>
      <c r="P442" s="54"/>
      <c r="Q442" s="54" t="s">
        <v>3730</v>
      </c>
      <c r="R442" s="57" t="s">
        <v>74</v>
      </c>
      <c r="S442" s="54" t="s">
        <v>3731</v>
      </c>
      <c r="T442" s="54"/>
      <c r="U442" s="54" t="s">
        <v>3732</v>
      </c>
      <c r="V442" s="55">
        <v>43558</v>
      </c>
      <c r="W442" s="54"/>
      <c r="X442" s="54"/>
      <c r="Y442" s="54" t="s">
        <v>85</v>
      </c>
      <c r="Z442" s="54"/>
      <c r="AA442" s="54"/>
      <c r="AB442" s="54"/>
      <c r="AC442" s="58">
        <v>43802</v>
      </c>
      <c r="AD442" s="7"/>
      <c r="AE442" s="7"/>
      <c r="AF442" s="46"/>
      <c r="AG442" s="47"/>
      <c r="AH442" s="46"/>
      <c r="AI442" s="46"/>
    </row>
    <row r="443" spans="1:35" x14ac:dyDescent="0.25">
      <c r="A443" s="36">
        <v>436</v>
      </c>
      <c r="B443" s="53" t="s">
        <v>3733</v>
      </c>
      <c r="C443" s="54" t="s">
        <v>3734</v>
      </c>
      <c r="D443" s="55">
        <v>34464</v>
      </c>
      <c r="E443" s="54" t="s">
        <v>40</v>
      </c>
      <c r="F443" s="53"/>
      <c r="G443" s="54" t="s">
        <v>3735</v>
      </c>
      <c r="H443" s="54"/>
      <c r="I443" s="54"/>
      <c r="J443" s="54" t="s">
        <v>3736</v>
      </c>
      <c r="K443" s="54"/>
      <c r="L443" s="54"/>
      <c r="M443" s="54"/>
      <c r="N443" s="54"/>
      <c r="O443" s="54"/>
      <c r="P443" s="54"/>
      <c r="Q443" s="54" t="s">
        <v>3737</v>
      </c>
      <c r="R443" s="57" t="s">
        <v>74</v>
      </c>
      <c r="S443" s="54" t="s">
        <v>3738</v>
      </c>
      <c r="T443" s="54"/>
      <c r="U443" s="54" t="s">
        <v>3739</v>
      </c>
      <c r="V443" s="55">
        <v>43573</v>
      </c>
      <c r="W443" s="54"/>
      <c r="X443" s="54"/>
      <c r="Y443" s="54" t="s">
        <v>85</v>
      </c>
      <c r="Z443" s="54"/>
      <c r="AA443" s="54"/>
      <c r="AB443" s="54"/>
      <c r="AC443" s="58">
        <v>43585</v>
      </c>
      <c r="AD443" s="7"/>
      <c r="AE443" s="7"/>
      <c r="AF443" s="46"/>
      <c r="AG443" s="47"/>
      <c r="AH443" s="46"/>
      <c r="AI443" s="46"/>
    </row>
    <row r="444" spans="1:35" x14ac:dyDescent="0.25">
      <c r="A444" s="36">
        <v>437</v>
      </c>
      <c r="B444" s="37" t="s">
        <v>3740</v>
      </c>
      <c r="C444" s="38" t="s">
        <v>548</v>
      </c>
      <c r="D444" s="39">
        <v>36494</v>
      </c>
      <c r="E444" s="38" t="s">
        <v>40</v>
      </c>
      <c r="F444" s="40" t="s">
        <v>48</v>
      </c>
      <c r="G444" s="38" t="s">
        <v>3741</v>
      </c>
      <c r="H444" s="38" t="s">
        <v>113</v>
      </c>
      <c r="I444" s="38" t="s">
        <v>114</v>
      </c>
      <c r="J444" s="43" t="s">
        <v>3742</v>
      </c>
      <c r="K444" s="43" t="s">
        <v>3743</v>
      </c>
      <c r="L444" s="43"/>
      <c r="M444" s="38" t="s">
        <v>99</v>
      </c>
      <c r="N444" s="43" t="s">
        <v>3744</v>
      </c>
      <c r="O444" s="43" t="s">
        <v>164</v>
      </c>
      <c r="P444" s="41" t="s">
        <v>3745</v>
      </c>
      <c r="Q444" s="43" t="s">
        <v>3746</v>
      </c>
      <c r="R444" s="50" t="s">
        <v>3747</v>
      </c>
      <c r="S444" s="38" t="s">
        <v>3748</v>
      </c>
      <c r="T444" s="38" t="s">
        <v>613</v>
      </c>
      <c r="U444" s="40" t="s">
        <v>3749</v>
      </c>
      <c r="V444" s="52">
        <v>43574</v>
      </c>
      <c r="W444" s="41" t="s">
        <v>3750</v>
      </c>
      <c r="X444" s="38">
        <v>1413</v>
      </c>
      <c r="Y444" s="38" t="s">
        <v>52</v>
      </c>
      <c r="Z444" s="38" t="s">
        <v>156</v>
      </c>
      <c r="AA444" s="38" t="s">
        <v>125</v>
      </c>
      <c r="AB444" s="38" t="s">
        <v>546</v>
      </c>
      <c r="AC444" s="45"/>
      <c r="AD444" s="7"/>
      <c r="AE444" s="7"/>
      <c r="AF444" s="46" t="str">
        <f>IF(R444="","",RIGHT(R444,LEN(R444)-FIND("@",R444)))</f>
        <v>gmail.com</v>
      </c>
      <c r="AG444" s="47">
        <f>LEN(R444)-LEN(SUBSTITUTE(R444," ",""))</f>
        <v>0</v>
      </c>
      <c r="AH444" s="46" t="str">
        <f>SUBSTITUTE(R444," ","")</f>
        <v>sasmitaindra849@gmail.com</v>
      </c>
      <c r="AI444" s="46">
        <f>LEN(AH444)-LEN(SUBSTITUTE(AH444," ",""))</f>
        <v>0</v>
      </c>
    </row>
    <row r="445" spans="1:35" x14ac:dyDescent="0.25">
      <c r="A445" s="36">
        <v>438</v>
      </c>
      <c r="B445" s="53" t="s">
        <v>3751</v>
      </c>
      <c r="C445" s="54" t="s">
        <v>3752</v>
      </c>
      <c r="D445" s="55">
        <v>33677</v>
      </c>
      <c r="E445" s="54" t="s">
        <v>40</v>
      </c>
      <c r="F445" s="53"/>
      <c r="G445" s="54" t="s">
        <v>3753</v>
      </c>
      <c r="H445" s="54"/>
      <c r="I445" s="54"/>
      <c r="J445" s="54" t="s">
        <v>3754</v>
      </c>
      <c r="K445" s="54"/>
      <c r="L445" s="54"/>
      <c r="M445" s="54"/>
      <c r="N445" s="54"/>
      <c r="O445" s="54"/>
      <c r="P445" s="54"/>
      <c r="Q445" s="54" t="s">
        <v>3755</v>
      </c>
      <c r="R445" s="57" t="s">
        <v>74</v>
      </c>
      <c r="S445" s="54" t="s">
        <v>3756</v>
      </c>
      <c r="T445" s="54"/>
      <c r="U445" s="54" t="s">
        <v>3757</v>
      </c>
      <c r="V445" s="55">
        <v>43582</v>
      </c>
      <c r="W445" s="54"/>
      <c r="X445" s="54"/>
      <c r="Y445" s="54" t="s">
        <v>85</v>
      </c>
      <c r="Z445" s="54" t="s">
        <v>3758</v>
      </c>
      <c r="AA445" s="54"/>
      <c r="AB445" s="54" t="s">
        <v>3759</v>
      </c>
      <c r="AC445" s="58">
        <v>43652</v>
      </c>
      <c r="AD445" s="7"/>
      <c r="AE445" s="7"/>
      <c r="AF445" s="46" t="str">
        <f>IF(R445="","",RIGHT(R445,LEN(R445)-FIND("@",R445)))</f>
        <v/>
      </c>
      <c r="AG445" s="47">
        <f>LEN(R445)-LEN(SUBSTITUTE(R445," ",""))</f>
        <v>0</v>
      </c>
      <c r="AH445" s="46" t="str">
        <f>SUBSTITUTE(R445," ","")</f>
        <v/>
      </c>
      <c r="AI445" s="46">
        <f>LEN(AH445)-LEN(SUBSTITUTE(AH445," ",""))</f>
        <v>0</v>
      </c>
    </row>
    <row r="446" spans="1:35" x14ac:dyDescent="0.25">
      <c r="A446" s="36">
        <v>439</v>
      </c>
      <c r="B446" s="37" t="s">
        <v>3760</v>
      </c>
      <c r="C446" s="38" t="s">
        <v>94</v>
      </c>
      <c r="D446" s="39">
        <v>36299</v>
      </c>
      <c r="E446" s="38" t="s">
        <v>40</v>
      </c>
      <c r="F446" s="40" t="s">
        <v>48</v>
      </c>
      <c r="G446" s="38" t="s">
        <v>3761</v>
      </c>
      <c r="H446" s="38" t="s">
        <v>113</v>
      </c>
      <c r="I446" s="38" t="s">
        <v>114</v>
      </c>
      <c r="J446" s="41" t="s">
        <v>3762</v>
      </c>
      <c r="K446" s="41" t="s">
        <v>3763</v>
      </c>
      <c r="L446" s="43"/>
      <c r="M446" s="38" t="s">
        <v>99</v>
      </c>
      <c r="N446" s="43" t="s">
        <v>3764</v>
      </c>
      <c r="O446" s="43" t="s">
        <v>164</v>
      </c>
      <c r="P446" s="41" t="s">
        <v>3765</v>
      </c>
      <c r="Q446" s="43" t="s">
        <v>3766</v>
      </c>
      <c r="R446" s="50" t="s">
        <v>3767</v>
      </c>
      <c r="S446" s="38" t="s">
        <v>3768</v>
      </c>
      <c r="T446" s="38" t="s">
        <v>2083</v>
      </c>
      <c r="U446" s="40" t="s">
        <v>3769</v>
      </c>
      <c r="V446" s="52">
        <v>43586</v>
      </c>
      <c r="W446" s="41" t="s">
        <v>3770</v>
      </c>
      <c r="X446" s="38">
        <v>1415</v>
      </c>
      <c r="Y446" s="38" t="s">
        <v>52</v>
      </c>
      <c r="Z446" s="38" t="s">
        <v>156</v>
      </c>
      <c r="AA446" s="38" t="s">
        <v>125</v>
      </c>
      <c r="AB446" s="38" t="s">
        <v>140</v>
      </c>
      <c r="AC446" s="45"/>
      <c r="AD446" s="7"/>
      <c r="AE446" s="7"/>
      <c r="AF446" s="46" t="str">
        <f>IF(R446="","",RIGHT(R446,LEN(R446)-FIND("@",R446)))</f>
        <v>gmail.com</v>
      </c>
      <c r="AG446" s="47">
        <f>LEN(R446)-LEN(SUBSTITUTE(R446," ",""))</f>
        <v>0</v>
      </c>
      <c r="AH446" s="46" t="str">
        <f>SUBSTITUTE(R446," ","")</f>
        <v>devanayoga9@gmail.com</v>
      </c>
      <c r="AI446" s="46">
        <f>LEN(AH446)-LEN(SUBSTITUTE(AH446," ",""))</f>
        <v>0</v>
      </c>
    </row>
    <row r="447" spans="1:35" x14ac:dyDescent="0.25">
      <c r="A447" s="48">
        <v>440</v>
      </c>
      <c r="B447" s="53" t="s">
        <v>3771</v>
      </c>
      <c r="C447" s="54" t="s">
        <v>3772</v>
      </c>
      <c r="D447" s="55">
        <v>35224</v>
      </c>
      <c r="E447" s="54" t="s">
        <v>95</v>
      </c>
      <c r="F447" s="53"/>
      <c r="G447" s="54" t="s">
        <v>3773</v>
      </c>
      <c r="H447" s="54"/>
      <c r="I447" s="54"/>
      <c r="J447" s="54" t="s">
        <v>196</v>
      </c>
      <c r="K447" s="54"/>
      <c r="L447" s="54"/>
      <c r="M447" s="54" t="s">
        <v>99</v>
      </c>
      <c r="N447" s="54"/>
      <c r="O447" s="54"/>
      <c r="P447" s="54"/>
      <c r="Q447" s="54" t="s">
        <v>3774</v>
      </c>
      <c r="R447" s="57" t="s">
        <v>74</v>
      </c>
      <c r="S447" s="54" t="s">
        <v>3773</v>
      </c>
      <c r="T447" s="54"/>
      <c r="U447" s="54" t="s">
        <v>3775</v>
      </c>
      <c r="V447" s="55">
        <v>43586</v>
      </c>
      <c r="W447" s="54"/>
      <c r="X447" s="54"/>
      <c r="Y447" s="54" t="s">
        <v>85</v>
      </c>
      <c r="Z447" s="54"/>
      <c r="AA447" s="54"/>
      <c r="AB447" s="54"/>
      <c r="AC447" s="58">
        <v>43590</v>
      </c>
      <c r="AD447" s="7"/>
      <c r="AE447" s="7"/>
      <c r="AF447" s="46"/>
      <c r="AG447" s="47"/>
      <c r="AH447" s="46"/>
      <c r="AI447" s="46"/>
    </row>
    <row r="448" spans="1:35" x14ac:dyDescent="0.25">
      <c r="A448" s="36">
        <v>441</v>
      </c>
      <c r="B448" s="53" t="s">
        <v>3776</v>
      </c>
      <c r="C448" s="54" t="s">
        <v>3777</v>
      </c>
      <c r="D448" s="55">
        <v>34200</v>
      </c>
      <c r="E448" s="54" t="s">
        <v>40</v>
      </c>
      <c r="F448" s="53"/>
      <c r="G448" s="54" t="s">
        <v>3778</v>
      </c>
      <c r="H448" s="54"/>
      <c r="I448" s="54"/>
      <c r="J448" s="54" t="s">
        <v>3779</v>
      </c>
      <c r="K448" s="54"/>
      <c r="L448" s="54"/>
      <c r="M448" s="54"/>
      <c r="N448" s="54"/>
      <c r="O448" s="54"/>
      <c r="P448" s="54"/>
      <c r="Q448" s="54" t="s">
        <v>3780</v>
      </c>
      <c r="R448" s="57" t="s">
        <v>74</v>
      </c>
      <c r="S448" s="54" t="s">
        <v>3781</v>
      </c>
      <c r="T448" s="54"/>
      <c r="U448" s="54" t="s">
        <v>3782</v>
      </c>
      <c r="V448" s="55">
        <v>43586</v>
      </c>
      <c r="W448" s="54"/>
      <c r="X448" s="54"/>
      <c r="Y448" s="54" t="s">
        <v>85</v>
      </c>
      <c r="Z448" s="54"/>
      <c r="AA448" s="54"/>
      <c r="AB448" s="54"/>
      <c r="AC448" s="58">
        <v>43592</v>
      </c>
      <c r="AD448" s="7"/>
      <c r="AE448" s="7"/>
      <c r="AF448" s="46"/>
      <c r="AG448" s="47"/>
      <c r="AH448" s="46"/>
      <c r="AI448" s="46"/>
    </row>
    <row r="449" spans="1:35" x14ac:dyDescent="0.25">
      <c r="A449" s="36">
        <v>442</v>
      </c>
      <c r="B449" s="53" t="s">
        <v>3783</v>
      </c>
      <c r="C449" s="54" t="s">
        <v>94</v>
      </c>
      <c r="D449" s="55">
        <v>35684</v>
      </c>
      <c r="E449" s="54" t="s">
        <v>95</v>
      </c>
      <c r="F449" s="53"/>
      <c r="G449" s="54" t="s">
        <v>3784</v>
      </c>
      <c r="H449" s="54"/>
      <c r="I449" s="54"/>
      <c r="J449" s="54" t="s">
        <v>3785</v>
      </c>
      <c r="K449" s="54"/>
      <c r="L449" s="54"/>
      <c r="M449" s="54" t="s">
        <v>99</v>
      </c>
      <c r="N449" s="54"/>
      <c r="O449" s="54"/>
      <c r="P449" s="54"/>
      <c r="Q449" s="54" t="s">
        <v>3786</v>
      </c>
      <c r="R449" s="57" t="s">
        <v>74</v>
      </c>
      <c r="S449" s="54" t="s">
        <v>3784</v>
      </c>
      <c r="T449" s="54"/>
      <c r="U449" s="54" t="s">
        <v>3787</v>
      </c>
      <c r="V449" s="55">
        <v>43602</v>
      </c>
      <c r="W449" s="54"/>
      <c r="X449" s="54"/>
      <c r="Y449" s="54" t="s">
        <v>85</v>
      </c>
      <c r="Z449" s="54" t="s">
        <v>172</v>
      </c>
      <c r="AA449" s="54"/>
      <c r="AB449" s="54" t="s">
        <v>157</v>
      </c>
      <c r="AC449" s="58">
        <v>43608</v>
      </c>
      <c r="AD449" s="7"/>
      <c r="AE449" s="7"/>
      <c r="AF449" s="46"/>
      <c r="AG449" s="47"/>
      <c r="AH449" s="46"/>
      <c r="AI449" s="46"/>
    </row>
    <row r="450" spans="1:35" x14ac:dyDescent="0.25">
      <c r="A450" s="36">
        <v>443</v>
      </c>
      <c r="B450" s="53" t="s">
        <v>3788</v>
      </c>
      <c r="C450" s="54" t="s">
        <v>365</v>
      </c>
      <c r="D450" s="55">
        <v>36914</v>
      </c>
      <c r="E450" s="54" t="s">
        <v>95</v>
      </c>
      <c r="F450" s="53"/>
      <c r="G450" s="54" t="s">
        <v>3789</v>
      </c>
      <c r="H450" s="54"/>
      <c r="I450" s="54"/>
      <c r="J450" s="54" t="s">
        <v>3790</v>
      </c>
      <c r="K450" s="54"/>
      <c r="L450" s="54"/>
      <c r="M450" s="54" t="s">
        <v>99</v>
      </c>
      <c r="N450" s="54"/>
      <c r="O450" s="54"/>
      <c r="P450" s="54"/>
      <c r="Q450" s="54" t="s">
        <v>3791</v>
      </c>
      <c r="R450" s="57" t="s">
        <v>74</v>
      </c>
      <c r="S450" s="54" t="s">
        <v>3792</v>
      </c>
      <c r="T450" s="54"/>
      <c r="U450" s="54" t="s">
        <v>3793</v>
      </c>
      <c r="V450" s="55">
        <v>43602</v>
      </c>
      <c r="W450" s="54"/>
      <c r="X450" s="54"/>
      <c r="Y450" s="54" t="s">
        <v>85</v>
      </c>
      <c r="Z450" s="54" t="s">
        <v>172</v>
      </c>
      <c r="AA450" s="54"/>
      <c r="AB450" s="54" t="s">
        <v>246</v>
      </c>
      <c r="AC450" s="58">
        <v>43708</v>
      </c>
      <c r="AD450" s="7"/>
      <c r="AE450" s="7"/>
      <c r="AF450" s="46"/>
      <c r="AG450" s="47"/>
      <c r="AH450" s="46"/>
      <c r="AI450" s="46"/>
    </row>
    <row r="451" spans="1:35" x14ac:dyDescent="0.25">
      <c r="A451" s="36">
        <v>444</v>
      </c>
      <c r="B451" s="53" t="s">
        <v>3794</v>
      </c>
      <c r="C451" s="54" t="s">
        <v>548</v>
      </c>
      <c r="D451" s="55">
        <v>35955</v>
      </c>
      <c r="E451" s="54" t="s">
        <v>40</v>
      </c>
      <c r="F451" s="53"/>
      <c r="G451" s="54"/>
      <c r="H451" s="54"/>
      <c r="I451" s="54"/>
      <c r="J451" s="54" t="s">
        <v>3795</v>
      </c>
      <c r="K451" s="54"/>
      <c r="L451" s="54"/>
      <c r="M451" s="54"/>
      <c r="N451" s="54"/>
      <c r="O451" s="54"/>
      <c r="P451" s="54"/>
      <c r="Q451" s="54" t="s">
        <v>3796</v>
      </c>
      <c r="R451" s="57" t="s">
        <v>74</v>
      </c>
      <c r="S451" s="54" t="s">
        <v>3797</v>
      </c>
      <c r="T451" s="54"/>
      <c r="U451" s="54" t="s">
        <v>3798</v>
      </c>
      <c r="V451" s="55">
        <v>43608</v>
      </c>
      <c r="W451" s="54"/>
      <c r="X451" s="54"/>
      <c r="Y451" s="54" t="s">
        <v>85</v>
      </c>
      <c r="Z451" s="54" t="s">
        <v>3610</v>
      </c>
      <c r="AA451" s="54"/>
      <c r="AB451" s="54" t="s">
        <v>157</v>
      </c>
      <c r="AC451" s="58">
        <v>43616</v>
      </c>
      <c r="AD451" s="7"/>
      <c r="AE451" s="7"/>
      <c r="AF451" s="46"/>
      <c r="AG451" s="47"/>
      <c r="AH451" s="46"/>
      <c r="AI451" s="46"/>
    </row>
    <row r="452" spans="1:35" x14ac:dyDescent="0.25">
      <c r="A452" s="36">
        <v>445</v>
      </c>
      <c r="B452" s="37" t="s">
        <v>3799</v>
      </c>
      <c r="C452" s="38" t="s">
        <v>3800</v>
      </c>
      <c r="D452" s="39">
        <v>35431</v>
      </c>
      <c r="E452" s="38" t="s">
        <v>95</v>
      </c>
      <c r="F452" s="38" t="s">
        <v>41</v>
      </c>
      <c r="G452" s="38" t="s">
        <v>3801</v>
      </c>
      <c r="H452" s="38" t="s">
        <v>113</v>
      </c>
      <c r="I452" s="38" t="s">
        <v>114</v>
      </c>
      <c r="J452" s="43" t="s">
        <v>3802</v>
      </c>
      <c r="K452" s="41" t="s">
        <v>3803</v>
      </c>
      <c r="L452" s="43"/>
      <c r="M452" s="38" t="s">
        <v>99</v>
      </c>
      <c r="N452" s="43" t="s">
        <v>3804</v>
      </c>
      <c r="O452" s="43" t="s">
        <v>76</v>
      </c>
      <c r="P452" s="41" t="s">
        <v>3805</v>
      </c>
      <c r="Q452" s="43" t="s">
        <v>3806</v>
      </c>
      <c r="R452" s="50" t="s">
        <v>3807</v>
      </c>
      <c r="S452" s="38" t="s">
        <v>3808</v>
      </c>
      <c r="T452" s="38" t="s">
        <v>3809</v>
      </c>
      <c r="U452" s="38" t="s">
        <v>3810</v>
      </c>
      <c r="V452" s="60">
        <v>43612</v>
      </c>
      <c r="W452" s="41" t="s">
        <v>3811</v>
      </c>
      <c r="X452" s="38">
        <v>1419</v>
      </c>
      <c r="Y452" s="38" t="s">
        <v>52</v>
      </c>
      <c r="Z452" s="38" t="s">
        <v>172</v>
      </c>
      <c r="AA452" s="38" t="s">
        <v>125</v>
      </c>
      <c r="AB452" s="38" t="s">
        <v>157</v>
      </c>
      <c r="AC452" s="45"/>
      <c r="AD452" s="7"/>
      <c r="AE452" s="7"/>
      <c r="AF452" s="46" t="str">
        <f>IF(R452="","",RIGHT(R452,LEN(R452)-FIND("@",R452)))</f>
        <v>gmail.com</v>
      </c>
      <c r="AG452" s="47">
        <f>LEN(R452)-LEN(SUBSTITUTE(R452," ",""))</f>
        <v>0</v>
      </c>
      <c r="AH452" s="46" t="str">
        <f>SUBSTITUTE(R452," ","")</f>
        <v>restuwilda0101@gmail.com</v>
      </c>
      <c r="AI452" s="46">
        <f>LEN(AH452)-LEN(SUBSTITUTE(AH452," ",""))</f>
        <v>0</v>
      </c>
    </row>
    <row r="453" spans="1:35" x14ac:dyDescent="0.25">
      <c r="A453" s="48">
        <v>446</v>
      </c>
      <c r="B453" s="37" t="s">
        <v>3812</v>
      </c>
      <c r="C453" s="38" t="s">
        <v>3813</v>
      </c>
      <c r="D453" s="39">
        <v>34723</v>
      </c>
      <c r="E453" s="38" t="s">
        <v>40</v>
      </c>
      <c r="F453" s="38" t="s">
        <v>304</v>
      </c>
      <c r="G453" s="38" t="s">
        <v>3814</v>
      </c>
      <c r="H453" s="38" t="s">
        <v>72</v>
      </c>
      <c r="I453" s="38" t="s">
        <v>114</v>
      </c>
      <c r="J453" s="43" t="s">
        <v>3815</v>
      </c>
      <c r="K453" s="43" t="s">
        <v>3816</v>
      </c>
      <c r="L453" s="43"/>
      <c r="M453" s="38" t="s">
        <v>99</v>
      </c>
      <c r="N453" s="43" t="s">
        <v>3817</v>
      </c>
      <c r="O453" s="43" t="s">
        <v>147</v>
      </c>
      <c r="P453" s="41" t="s">
        <v>3818</v>
      </c>
      <c r="Q453" s="43" t="s">
        <v>3819</v>
      </c>
      <c r="R453" s="50" t="s">
        <v>3820</v>
      </c>
      <c r="S453" s="38" t="s">
        <v>3821</v>
      </c>
      <c r="T453" s="38" t="s">
        <v>3822</v>
      </c>
      <c r="U453" s="40" t="s">
        <v>3823</v>
      </c>
      <c r="V453" s="60">
        <v>43612</v>
      </c>
      <c r="W453" s="41" t="s">
        <v>3824</v>
      </c>
      <c r="X453" s="38">
        <v>1421</v>
      </c>
      <c r="Y453" s="38" t="s">
        <v>52</v>
      </c>
      <c r="Z453" s="38" t="s">
        <v>2522</v>
      </c>
      <c r="AA453" s="38" t="s">
        <v>82</v>
      </c>
      <c r="AB453" s="38" t="s">
        <v>55</v>
      </c>
      <c r="AC453" s="45"/>
      <c r="AD453" s="7"/>
      <c r="AE453" s="7"/>
      <c r="AF453" s="46" t="str">
        <f>IF(R453="","",RIGHT(R453,LEN(R453)-FIND("@",R453)))</f>
        <v>gmail.com</v>
      </c>
      <c r="AG453" s="47">
        <f>LEN(R453)-LEN(SUBSTITUTE(R453," ",""))</f>
        <v>0</v>
      </c>
      <c r="AH453" s="46" t="str">
        <f>SUBSTITUTE(R453," ","")</f>
        <v>pandeputu711@gmail.com</v>
      </c>
      <c r="AI453" s="46">
        <f>LEN(AH453)-LEN(SUBSTITUTE(AH453," ",""))</f>
        <v>0</v>
      </c>
    </row>
    <row r="454" spans="1:35" x14ac:dyDescent="0.25">
      <c r="A454" s="36">
        <v>447</v>
      </c>
      <c r="B454" s="37" t="s">
        <v>3825</v>
      </c>
      <c r="C454" s="38" t="s">
        <v>3826</v>
      </c>
      <c r="D454" s="39">
        <v>34680</v>
      </c>
      <c r="E454" s="38" t="s">
        <v>40</v>
      </c>
      <c r="F454" s="40" t="s">
        <v>48</v>
      </c>
      <c r="G454" s="38" t="s">
        <v>3827</v>
      </c>
      <c r="H454" s="38" t="s">
        <v>113</v>
      </c>
      <c r="I454" s="38" t="s">
        <v>114</v>
      </c>
      <c r="J454" s="40" t="s">
        <v>3828</v>
      </c>
      <c r="K454" s="40" t="s">
        <v>3829</v>
      </c>
      <c r="L454" s="42" t="s">
        <v>3830</v>
      </c>
      <c r="M454" s="38" t="s">
        <v>99</v>
      </c>
      <c r="N454" s="40" t="s">
        <v>3831</v>
      </c>
      <c r="O454" s="40" t="s">
        <v>76</v>
      </c>
      <c r="P454" s="40" t="s">
        <v>3832</v>
      </c>
      <c r="Q454" s="40" t="s">
        <v>3833</v>
      </c>
      <c r="R454" s="50" t="s">
        <v>3834</v>
      </c>
      <c r="S454" s="38" t="s">
        <v>3835</v>
      </c>
      <c r="T454" s="38" t="s">
        <v>3836</v>
      </c>
      <c r="U454" s="38" t="s">
        <v>3837</v>
      </c>
      <c r="V454" s="52">
        <v>43612</v>
      </c>
      <c r="W454" s="41" t="s">
        <v>3838</v>
      </c>
      <c r="X454" s="38">
        <v>1418</v>
      </c>
      <c r="Y454" s="38" t="s">
        <v>52</v>
      </c>
      <c r="Z454" s="38" t="s">
        <v>396</v>
      </c>
      <c r="AA454" s="38" t="s">
        <v>397</v>
      </c>
      <c r="AB454" s="38" t="s">
        <v>55</v>
      </c>
      <c r="AC454" s="45"/>
      <c r="AD454" s="7"/>
      <c r="AE454" s="7"/>
      <c r="AF454" s="46"/>
      <c r="AG454" s="47"/>
      <c r="AH454" s="46"/>
      <c r="AI454" s="46"/>
    </row>
    <row r="455" spans="1:35" x14ac:dyDescent="0.25">
      <c r="A455" s="36">
        <v>448</v>
      </c>
      <c r="B455" s="53" t="s">
        <v>3839</v>
      </c>
      <c r="C455" s="54" t="s">
        <v>216</v>
      </c>
      <c r="D455" s="55">
        <v>35150</v>
      </c>
      <c r="E455" s="54" t="s">
        <v>40</v>
      </c>
      <c r="F455" s="53"/>
      <c r="G455" s="54" t="s">
        <v>3840</v>
      </c>
      <c r="H455" s="54"/>
      <c r="I455" s="54"/>
      <c r="J455" s="54" t="s">
        <v>3841</v>
      </c>
      <c r="K455" s="54"/>
      <c r="L455" s="54"/>
      <c r="M455" s="54"/>
      <c r="N455" s="54"/>
      <c r="O455" s="54"/>
      <c r="P455" s="54"/>
      <c r="Q455" s="54" t="s">
        <v>3842</v>
      </c>
      <c r="R455" s="57" t="s">
        <v>74</v>
      </c>
      <c r="S455" s="54" t="s">
        <v>3840</v>
      </c>
      <c r="T455" s="54"/>
      <c r="U455" s="54" t="s">
        <v>3843</v>
      </c>
      <c r="V455" s="55">
        <v>43612</v>
      </c>
      <c r="W455" s="54"/>
      <c r="X455" s="54"/>
      <c r="Y455" s="54" t="s">
        <v>85</v>
      </c>
      <c r="Z455" s="54" t="s">
        <v>156</v>
      </c>
      <c r="AA455" s="54"/>
      <c r="AB455" s="54" t="s">
        <v>382</v>
      </c>
      <c r="AC455" s="58">
        <v>43708</v>
      </c>
      <c r="AD455" s="7"/>
      <c r="AE455" s="7"/>
      <c r="AF455" s="46"/>
      <c r="AG455" s="47"/>
      <c r="AH455" s="46"/>
      <c r="AI455" s="46"/>
    </row>
    <row r="456" spans="1:35" x14ac:dyDescent="0.25">
      <c r="A456" s="36">
        <v>449</v>
      </c>
      <c r="B456" s="53" t="s">
        <v>3844</v>
      </c>
      <c r="C456" s="54" t="s">
        <v>216</v>
      </c>
      <c r="D456" s="55">
        <v>36033</v>
      </c>
      <c r="E456" s="54" t="s">
        <v>95</v>
      </c>
      <c r="F456" s="53"/>
      <c r="G456" s="54" t="s">
        <v>3845</v>
      </c>
      <c r="H456" s="54"/>
      <c r="I456" s="54"/>
      <c r="J456" s="54" t="s">
        <v>3846</v>
      </c>
      <c r="K456" s="54"/>
      <c r="L456" s="54"/>
      <c r="M456" s="54" t="s">
        <v>99</v>
      </c>
      <c r="N456" s="54"/>
      <c r="O456" s="54"/>
      <c r="P456" s="54"/>
      <c r="Q456" s="54" t="s">
        <v>3847</v>
      </c>
      <c r="R456" s="57" t="s">
        <v>74</v>
      </c>
      <c r="S456" s="54" t="s">
        <v>3845</v>
      </c>
      <c r="T456" s="54"/>
      <c r="U456" s="54" t="s">
        <v>3848</v>
      </c>
      <c r="V456" s="55">
        <v>43614</v>
      </c>
      <c r="W456" s="54"/>
      <c r="X456" s="54"/>
      <c r="Y456" s="54" t="s">
        <v>85</v>
      </c>
      <c r="Z456" s="54" t="s">
        <v>172</v>
      </c>
      <c r="AA456" s="54"/>
      <c r="AB456" s="54" t="s">
        <v>157</v>
      </c>
      <c r="AC456" s="58">
        <v>43708</v>
      </c>
      <c r="AD456" s="7"/>
      <c r="AE456" s="7"/>
      <c r="AF456" s="46"/>
      <c r="AG456" s="47"/>
      <c r="AH456" s="46"/>
      <c r="AI456" s="46"/>
    </row>
    <row r="457" spans="1:35" x14ac:dyDescent="0.25">
      <c r="A457" s="36">
        <v>450</v>
      </c>
      <c r="B457" s="53" t="s">
        <v>3849</v>
      </c>
      <c r="C457" s="54" t="s">
        <v>3850</v>
      </c>
      <c r="D457" s="55">
        <v>36412</v>
      </c>
      <c r="E457" s="54" t="s">
        <v>40</v>
      </c>
      <c r="F457" s="54" t="s">
        <v>129</v>
      </c>
      <c r="G457" s="54" t="s">
        <v>3851</v>
      </c>
      <c r="H457" s="54" t="s">
        <v>72</v>
      </c>
      <c r="I457" s="54" t="s">
        <v>114</v>
      </c>
      <c r="J457" s="66" t="s">
        <v>3852</v>
      </c>
      <c r="K457" s="66" t="s">
        <v>3853</v>
      </c>
      <c r="L457" s="68"/>
      <c r="M457" s="54" t="s">
        <v>99</v>
      </c>
      <c r="N457" s="68" t="s">
        <v>3854</v>
      </c>
      <c r="O457" s="68" t="s">
        <v>428</v>
      </c>
      <c r="P457" s="90" t="s">
        <v>3855</v>
      </c>
      <c r="Q457" s="68" t="s">
        <v>3856</v>
      </c>
      <c r="R457" s="57" t="s">
        <v>3857</v>
      </c>
      <c r="S457" s="54" t="s">
        <v>3858</v>
      </c>
      <c r="T457" s="54" t="s">
        <v>463</v>
      </c>
      <c r="U457" s="54" t="s">
        <v>3859</v>
      </c>
      <c r="V457" s="72">
        <v>43615</v>
      </c>
      <c r="W457" s="66" t="s">
        <v>3860</v>
      </c>
      <c r="X457" s="54">
        <v>1423</v>
      </c>
      <c r="Y457" s="54" t="s">
        <v>85</v>
      </c>
      <c r="Z457" s="54" t="s">
        <v>156</v>
      </c>
      <c r="AA457" s="54" t="s">
        <v>125</v>
      </c>
      <c r="AB457" s="54" t="s">
        <v>157</v>
      </c>
      <c r="AC457" s="58">
        <v>44041</v>
      </c>
      <c r="AD457" s="7"/>
      <c r="AE457" s="7"/>
      <c r="AF457" s="46" t="str">
        <f>IF(R457="","",RIGHT(R457,LEN(R457)-FIND("@",R457)))</f>
        <v>icloud.com</v>
      </c>
      <c r="AG457" s="47">
        <f>LEN(R457)-LEN(SUBSTITUTE(R457," ",""))</f>
        <v>0</v>
      </c>
      <c r="AH457" s="46" t="str">
        <f>SUBSTITUTE(R457," ","")</f>
        <v>kadekmertayasa2@icloud.com</v>
      </c>
      <c r="AI457" s="46">
        <f>LEN(AH457)-LEN(SUBSTITUTE(AH457," ",""))</f>
        <v>0</v>
      </c>
    </row>
    <row r="458" spans="1:35" x14ac:dyDescent="0.25">
      <c r="A458" s="36">
        <v>451</v>
      </c>
      <c r="B458" s="37" t="s">
        <v>3861</v>
      </c>
      <c r="C458" s="38" t="s">
        <v>2048</v>
      </c>
      <c r="D458" s="39">
        <v>36812</v>
      </c>
      <c r="E458" s="38" t="s">
        <v>40</v>
      </c>
      <c r="F458" s="40" t="s">
        <v>48</v>
      </c>
      <c r="G458" s="38" t="s">
        <v>3862</v>
      </c>
      <c r="H458" s="38" t="s">
        <v>113</v>
      </c>
      <c r="I458" s="38" t="s">
        <v>114</v>
      </c>
      <c r="J458" s="41" t="s">
        <v>3863</v>
      </c>
      <c r="K458" s="41" t="s">
        <v>3864</v>
      </c>
      <c r="L458" s="41"/>
      <c r="M458" s="38" t="s">
        <v>99</v>
      </c>
      <c r="N458" s="43" t="s">
        <v>3865</v>
      </c>
      <c r="O458" s="43" t="s">
        <v>164</v>
      </c>
      <c r="P458" s="43" t="s">
        <v>3866</v>
      </c>
      <c r="Q458" s="41" t="s">
        <v>3867</v>
      </c>
      <c r="R458" s="50" t="s">
        <v>3868</v>
      </c>
      <c r="S458" s="38" t="s">
        <v>3869</v>
      </c>
      <c r="T458" s="38" t="s">
        <v>3870</v>
      </c>
      <c r="U458" s="38">
        <v>83879932706</v>
      </c>
      <c r="V458" s="52">
        <v>43628</v>
      </c>
      <c r="W458" s="41" t="s">
        <v>3871</v>
      </c>
      <c r="X458" s="38">
        <v>1425</v>
      </c>
      <c r="Y458" s="38" t="s">
        <v>52</v>
      </c>
      <c r="Z458" s="38" t="s">
        <v>156</v>
      </c>
      <c r="AA458" s="38" t="s">
        <v>125</v>
      </c>
      <c r="AB458" s="38" t="s">
        <v>1026</v>
      </c>
      <c r="AC458" s="45"/>
      <c r="AD458" s="7"/>
      <c r="AE458" s="7"/>
      <c r="AF458" s="46" t="str">
        <f>IF(R458="","",RIGHT(R458,LEN(R458)-FIND("@",R458)))</f>
        <v>gmail.com</v>
      </c>
      <c r="AG458" s="47">
        <f>LEN(R458)-LEN(SUBSTITUTE(R458," ",""))</f>
        <v>0</v>
      </c>
      <c r="AH458" s="46" t="str">
        <f>SUBSTITUTE(R458," ","")</f>
        <v>jiwoalaziz1310@gmail.com</v>
      </c>
      <c r="AI458" s="46">
        <f>LEN(AH458)-LEN(SUBSTITUTE(AH458," ",""))</f>
        <v>0</v>
      </c>
    </row>
    <row r="459" spans="1:35" x14ac:dyDescent="0.25">
      <c r="A459" s="48">
        <v>452</v>
      </c>
      <c r="B459" s="53" t="s">
        <v>3872</v>
      </c>
      <c r="C459" s="54" t="s">
        <v>3873</v>
      </c>
      <c r="D459" s="55">
        <v>34334</v>
      </c>
      <c r="E459" s="54" t="s">
        <v>40</v>
      </c>
      <c r="F459" s="53"/>
      <c r="G459" s="54" t="s">
        <v>3874</v>
      </c>
      <c r="H459" s="54"/>
      <c r="I459" s="54"/>
      <c r="J459" s="54" t="s">
        <v>3875</v>
      </c>
      <c r="K459" s="54"/>
      <c r="L459" s="54"/>
      <c r="M459" s="54"/>
      <c r="N459" s="54"/>
      <c r="O459" s="54"/>
      <c r="P459" s="54"/>
      <c r="Q459" s="54" t="s">
        <v>3876</v>
      </c>
      <c r="R459" s="57" t="s">
        <v>74</v>
      </c>
      <c r="S459" s="54" t="s">
        <v>3877</v>
      </c>
      <c r="T459" s="54"/>
      <c r="U459" s="54" t="s">
        <v>3878</v>
      </c>
      <c r="V459" s="55">
        <v>43628</v>
      </c>
      <c r="W459" s="54"/>
      <c r="X459" s="54"/>
      <c r="Y459" s="54" t="s">
        <v>85</v>
      </c>
      <c r="Z459" s="54" t="s">
        <v>156</v>
      </c>
      <c r="AA459" s="54" t="s">
        <v>125</v>
      </c>
      <c r="AB459" s="54" t="s">
        <v>246</v>
      </c>
      <c r="AC459" s="58">
        <v>43833</v>
      </c>
      <c r="AD459" s="7"/>
      <c r="AE459" s="7"/>
      <c r="AF459" s="46"/>
      <c r="AG459" s="47"/>
      <c r="AH459" s="46"/>
      <c r="AI459" s="46"/>
    </row>
    <row r="460" spans="1:35" x14ac:dyDescent="0.25">
      <c r="A460" s="36">
        <v>453</v>
      </c>
      <c r="B460" s="37" t="s">
        <v>3879</v>
      </c>
      <c r="C460" s="38" t="s">
        <v>3880</v>
      </c>
      <c r="D460" s="39">
        <v>34733</v>
      </c>
      <c r="E460" s="38" t="s">
        <v>95</v>
      </c>
      <c r="F460" s="40" t="s">
        <v>129</v>
      </c>
      <c r="G460" s="38" t="s">
        <v>3881</v>
      </c>
      <c r="H460" s="38" t="s">
        <v>72</v>
      </c>
      <c r="I460" s="38" t="s">
        <v>44</v>
      </c>
      <c r="J460" s="41" t="s">
        <v>3882</v>
      </c>
      <c r="K460" s="41" t="s">
        <v>3883</v>
      </c>
      <c r="L460" s="43"/>
      <c r="M460" s="38" t="s">
        <v>99</v>
      </c>
      <c r="N460" s="41" t="s">
        <v>3884</v>
      </c>
      <c r="O460" s="41" t="s">
        <v>76</v>
      </c>
      <c r="P460" s="43" t="s">
        <v>3885</v>
      </c>
      <c r="Q460" s="41" t="s">
        <v>3886</v>
      </c>
      <c r="R460" s="50" t="s">
        <v>3887</v>
      </c>
      <c r="S460" s="38" t="s">
        <v>3888</v>
      </c>
      <c r="T460" s="38" t="s">
        <v>613</v>
      </c>
      <c r="U460" s="40" t="s">
        <v>3889</v>
      </c>
      <c r="V460" s="52">
        <v>43629</v>
      </c>
      <c r="W460" s="41" t="s">
        <v>3890</v>
      </c>
      <c r="X460" s="38">
        <v>1426</v>
      </c>
      <c r="Y460" s="38" t="s">
        <v>52</v>
      </c>
      <c r="Z460" s="38" t="s">
        <v>172</v>
      </c>
      <c r="AA460" s="38" t="s">
        <v>125</v>
      </c>
      <c r="AB460" s="38" t="s">
        <v>884</v>
      </c>
      <c r="AC460" s="45"/>
      <c r="AD460" s="7"/>
      <c r="AE460" s="7"/>
      <c r="AF460" s="46"/>
      <c r="AG460" s="47"/>
      <c r="AH460" s="46"/>
      <c r="AI460" s="46"/>
    </row>
    <row r="461" spans="1:35" x14ac:dyDescent="0.25">
      <c r="A461" s="36">
        <v>454</v>
      </c>
      <c r="B461" s="53" t="s">
        <v>3891</v>
      </c>
      <c r="C461" s="54" t="s">
        <v>3892</v>
      </c>
      <c r="D461" s="55">
        <v>36349</v>
      </c>
      <c r="E461" s="54" t="s">
        <v>40</v>
      </c>
      <c r="F461" s="53"/>
      <c r="G461" s="54" t="s">
        <v>3893</v>
      </c>
      <c r="H461" s="54"/>
      <c r="I461" s="54"/>
      <c r="J461" s="54" t="s">
        <v>3894</v>
      </c>
      <c r="K461" s="54"/>
      <c r="L461" s="54"/>
      <c r="M461" s="54"/>
      <c r="N461" s="54"/>
      <c r="O461" s="54"/>
      <c r="P461" s="54"/>
      <c r="Q461" s="54" t="s">
        <v>3895</v>
      </c>
      <c r="R461" s="57" t="s">
        <v>74</v>
      </c>
      <c r="S461" s="54" t="s">
        <v>3896</v>
      </c>
      <c r="T461" s="54"/>
      <c r="U461" s="54" t="s">
        <v>3897</v>
      </c>
      <c r="V461" s="55">
        <v>43630</v>
      </c>
      <c r="W461" s="54"/>
      <c r="X461" s="54"/>
      <c r="Y461" s="54" t="s">
        <v>85</v>
      </c>
      <c r="Z461" s="54"/>
      <c r="AA461" s="54"/>
      <c r="AB461" s="54"/>
      <c r="AC461" s="58">
        <v>43635</v>
      </c>
      <c r="AD461" s="7"/>
      <c r="AE461" s="7"/>
      <c r="AF461" s="46"/>
      <c r="AG461" s="47"/>
      <c r="AH461" s="46"/>
      <c r="AI461" s="46"/>
    </row>
    <row r="462" spans="1:35" x14ac:dyDescent="0.25">
      <c r="A462" s="36">
        <v>455</v>
      </c>
      <c r="B462" s="37" t="s">
        <v>3898</v>
      </c>
      <c r="C462" s="38" t="s">
        <v>328</v>
      </c>
      <c r="D462" s="39">
        <v>35997</v>
      </c>
      <c r="E462" s="38" t="s">
        <v>40</v>
      </c>
      <c r="F462" s="38" t="s">
        <v>48</v>
      </c>
      <c r="G462" s="38" t="s">
        <v>3899</v>
      </c>
      <c r="H462" s="38" t="s">
        <v>113</v>
      </c>
      <c r="I462" s="38" t="s">
        <v>114</v>
      </c>
      <c r="J462" s="41" t="s">
        <v>3036</v>
      </c>
      <c r="K462" s="41" t="s">
        <v>3900</v>
      </c>
      <c r="L462" s="41"/>
      <c r="M462" s="38" t="s">
        <v>99</v>
      </c>
      <c r="N462" s="43" t="s">
        <v>48</v>
      </c>
      <c r="O462" s="43"/>
      <c r="P462" s="41" t="s">
        <v>3901</v>
      </c>
      <c r="Q462" s="41" t="s">
        <v>3902</v>
      </c>
      <c r="R462" s="50" t="s">
        <v>3903</v>
      </c>
      <c r="S462" s="38" t="s">
        <v>3904</v>
      </c>
      <c r="T462" s="38" t="s">
        <v>613</v>
      </c>
      <c r="U462" s="40" t="s">
        <v>3905</v>
      </c>
      <c r="V462" s="52">
        <v>43631</v>
      </c>
      <c r="W462" s="41" t="s">
        <v>3906</v>
      </c>
      <c r="X462" s="38">
        <v>1334</v>
      </c>
      <c r="Y462" s="38" t="s">
        <v>52</v>
      </c>
      <c r="Z462" s="38" t="s">
        <v>156</v>
      </c>
      <c r="AA462" s="38" t="s">
        <v>125</v>
      </c>
      <c r="AB462" s="38" t="s">
        <v>1213</v>
      </c>
      <c r="AC462" s="45"/>
      <c r="AD462" s="7"/>
      <c r="AE462" s="7"/>
      <c r="AF462" s="46" t="str">
        <f>IF(R462="","",RIGHT(R462,LEN(R462)-FIND("@",R462)))</f>
        <v>gmail.com</v>
      </c>
      <c r="AG462" s="47">
        <f>LEN(R462)-LEN(SUBSTITUTE(R462," ",""))</f>
        <v>0</v>
      </c>
      <c r="AH462" s="46" t="str">
        <f>SUBSTITUTE(R462," ","")</f>
        <v>royhulhamdani97@gmail.com</v>
      </c>
      <c r="AI462" s="46">
        <f>LEN(AH462)-LEN(SUBSTITUTE(AH462," ",""))</f>
        <v>0</v>
      </c>
    </row>
    <row r="463" spans="1:35" x14ac:dyDescent="0.25">
      <c r="A463" s="36">
        <v>456</v>
      </c>
      <c r="B463" s="37" t="s">
        <v>3907</v>
      </c>
      <c r="C463" s="38" t="s">
        <v>94</v>
      </c>
      <c r="D463" s="39">
        <v>35658</v>
      </c>
      <c r="E463" s="38" t="s">
        <v>95</v>
      </c>
      <c r="F463" s="38" t="s">
        <v>48</v>
      </c>
      <c r="G463" s="38" t="s">
        <v>3908</v>
      </c>
      <c r="H463" s="38" t="s">
        <v>72</v>
      </c>
      <c r="I463" s="38" t="s">
        <v>114</v>
      </c>
      <c r="J463" s="41" t="s">
        <v>3909</v>
      </c>
      <c r="K463" s="41" t="s">
        <v>3910</v>
      </c>
      <c r="L463" s="41"/>
      <c r="M463" s="38" t="s">
        <v>99</v>
      </c>
      <c r="N463" s="41" t="s">
        <v>3911</v>
      </c>
      <c r="O463" s="41" t="s">
        <v>164</v>
      </c>
      <c r="P463" s="41" t="s">
        <v>3912</v>
      </c>
      <c r="Q463" s="41" t="s">
        <v>3913</v>
      </c>
      <c r="R463" s="50" t="s">
        <v>3914</v>
      </c>
      <c r="S463" s="38" t="s">
        <v>3915</v>
      </c>
      <c r="T463" s="38" t="s">
        <v>2110</v>
      </c>
      <c r="U463" s="38">
        <v>85737521120</v>
      </c>
      <c r="V463" s="52">
        <v>43635</v>
      </c>
      <c r="W463" s="41" t="s">
        <v>3916</v>
      </c>
      <c r="X463" s="38">
        <v>1428</v>
      </c>
      <c r="Y463" s="38" t="s">
        <v>52</v>
      </c>
      <c r="Z463" s="38" t="s">
        <v>396</v>
      </c>
      <c r="AA463" s="38" t="s">
        <v>227</v>
      </c>
      <c r="AB463" s="38" t="s">
        <v>55</v>
      </c>
      <c r="AC463" s="45"/>
      <c r="AD463" s="7"/>
      <c r="AE463" s="7"/>
      <c r="AF463" s="46" t="str">
        <f>IF(R463="","",RIGHT(R463,LEN(R463)-FIND("@",R463)))</f>
        <v>gmail.com</v>
      </c>
      <c r="AG463" s="47">
        <f>LEN(R463)-LEN(SUBSTITUTE(R463," ",""))</f>
        <v>0</v>
      </c>
      <c r="AH463" s="46" t="str">
        <f>SUBSTITUTE(R463," ","")</f>
        <v>ayuagustini369@gmail.com</v>
      </c>
      <c r="AI463" s="46">
        <f>LEN(AH463)-LEN(SUBSTITUTE(AH463," ",""))</f>
        <v>0</v>
      </c>
    </row>
    <row r="464" spans="1:35" x14ac:dyDescent="0.25">
      <c r="A464" s="36">
        <v>457</v>
      </c>
      <c r="B464" s="53" t="s">
        <v>3917</v>
      </c>
      <c r="C464" s="54" t="s">
        <v>94</v>
      </c>
      <c r="D464" s="55">
        <v>36901</v>
      </c>
      <c r="E464" s="54" t="s">
        <v>40</v>
      </c>
      <c r="F464" s="53"/>
      <c r="G464" s="54" t="s">
        <v>3918</v>
      </c>
      <c r="H464" s="54"/>
      <c r="I464" s="54"/>
      <c r="J464" s="54" t="s">
        <v>3919</v>
      </c>
      <c r="K464" s="54"/>
      <c r="L464" s="54"/>
      <c r="M464" s="54"/>
      <c r="N464" s="54"/>
      <c r="O464" s="54"/>
      <c r="P464" s="54"/>
      <c r="Q464" s="54" t="s">
        <v>3920</v>
      </c>
      <c r="R464" s="57" t="s">
        <v>74</v>
      </c>
      <c r="S464" s="54" t="s">
        <v>3918</v>
      </c>
      <c r="T464" s="54"/>
      <c r="U464" s="54" t="s">
        <v>3921</v>
      </c>
      <c r="V464" s="55">
        <v>43636</v>
      </c>
      <c r="W464" s="54"/>
      <c r="X464" s="54"/>
      <c r="Y464" s="54" t="s">
        <v>85</v>
      </c>
      <c r="Z464" s="54"/>
      <c r="AA464" s="54"/>
      <c r="AB464" s="54"/>
      <c r="AC464" s="58">
        <v>43708</v>
      </c>
      <c r="AD464" s="7"/>
      <c r="AE464" s="7"/>
      <c r="AF464" s="46"/>
      <c r="AG464" s="47"/>
      <c r="AH464" s="46"/>
      <c r="AI464" s="46"/>
    </row>
    <row r="465" spans="1:35" x14ac:dyDescent="0.25">
      <c r="A465" s="48">
        <v>458</v>
      </c>
      <c r="B465" s="37" t="s">
        <v>3922</v>
      </c>
      <c r="C465" s="38" t="s">
        <v>328</v>
      </c>
      <c r="D465" s="39">
        <v>34297</v>
      </c>
      <c r="E465" s="38" t="s">
        <v>40</v>
      </c>
      <c r="F465" s="40" t="s">
        <v>48</v>
      </c>
      <c r="G465" s="38" t="s">
        <v>3923</v>
      </c>
      <c r="H465" s="38" t="s">
        <v>113</v>
      </c>
      <c r="I465" s="38" t="s">
        <v>114</v>
      </c>
      <c r="J465" s="41" t="s">
        <v>3924</v>
      </c>
      <c r="K465" s="41" t="s">
        <v>3087</v>
      </c>
      <c r="L465" s="41"/>
      <c r="M465" s="38" t="s">
        <v>99</v>
      </c>
      <c r="N465" s="43" t="s">
        <v>48</v>
      </c>
      <c r="O465" s="43"/>
      <c r="P465" s="41" t="s">
        <v>3925</v>
      </c>
      <c r="Q465" s="41"/>
      <c r="R465" s="50" t="s">
        <v>3926</v>
      </c>
      <c r="S465" s="38" t="s">
        <v>3927</v>
      </c>
      <c r="T465" s="38"/>
      <c r="U465" s="38"/>
      <c r="V465" s="52">
        <v>43642</v>
      </c>
      <c r="W465" s="41" t="s">
        <v>3928</v>
      </c>
      <c r="X465" s="38">
        <v>1430</v>
      </c>
      <c r="Y465" s="38" t="s">
        <v>52</v>
      </c>
      <c r="Z465" s="38" t="s">
        <v>156</v>
      </c>
      <c r="AA465" s="38" t="s">
        <v>125</v>
      </c>
      <c r="AB465" s="38" t="s">
        <v>382</v>
      </c>
      <c r="AC465" s="45"/>
      <c r="AD465" s="7"/>
      <c r="AE465" s="7"/>
      <c r="AF465" s="46" t="str">
        <f>IF(R465="","",RIGHT(R465,LEN(R465)-FIND("@",R465)))</f>
        <v>gmail.com</v>
      </c>
      <c r="AG465" s="47">
        <f>LEN(R465)-LEN(SUBSTITUTE(R465," ",""))</f>
        <v>0</v>
      </c>
      <c r="AH465" s="46" t="str">
        <f>SUBSTITUTE(R465," ","")</f>
        <v>imrosadi634@gmail.com</v>
      </c>
      <c r="AI465" s="46">
        <f>LEN(AH465)-LEN(SUBSTITUTE(AH465," ",""))</f>
        <v>0</v>
      </c>
    </row>
    <row r="466" spans="1:35" x14ac:dyDescent="0.25">
      <c r="A466" s="36">
        <v>459</v>
      </c>
      <c r="B466" s="37" t="s">
        <v>3929</v>
      </c>
      <c r="C466" s="38" t="s">
        <v>548</v>
      </c>
      <c r="D466" s="39">
        <v>36781</v>
      </c>
      <c r="E466" s="38" t="s">
        <v>40</v>
      </c>
      <c r="F466" s="40" t="s">
        <v>48</v>
      </c>
      <c r="G466" s="38" t="s">
        <v>3930</v>
      </c>
      <c r="H466" s="38" t="s">
        <v>113</v>
      </c>
      <c r="I466" s="38" t="s">
        <v>114</v>
      </c>
      <c r="J466" s="41" t="s">
        <v>3931</v>
      </c>
      <c r="K466" s="41" t="s">
        <v>3932</v>
      </c>
      <c r="L466" s="41"/>
      <c r="M466" s="38" t="s">
        <v>99</v>
      </c>
      <c r="N466" s="43" t="s">
        <v>48</v>
      </c>
      <c r="O466" s="43"/>
      <c r="P466" s="41" t="s">
        <v>3933</v>
      </c>
      <c r="Q466" s="41" t="s">
        <v>3934</v>
      </c>
      <c r="R466" s="50" t="s">
        <v>3935</v>
      </c>
      <c r="S466" s="38" t="s">
        <v>3936</v>
      </c>
      <c r="T466" s="38" t="s">
        <v>152</v>
      </c>
      <c r="U466" s="38">
        <v>85236355929</v>
      </c>
      <c r="V466" s="52">
        <v>43642</v>
      </c>
      <c r="W466" s="41" t="s">
        <v>3937</v>
      </c>
      <c r="X466" s="38">
        <v>1431</v>
      </c>
      <c r="Y466" s="38" t="s">
        <v>52</v>
      </c>
      <c r="Z466" s="38" t="s">
        <v>156</v>
      </c>
      <c r="AA466" s="38" t="s">
        <v>125</v>
      </c>
      <c r="AB466" s="38" t="s">
        <v>1026</v>
      </c>
      <c r="AC466" s="45"/>
      <c r="AD466" s="7"/>
      <c r="AE466" s="7"/>
      <c r="AF466" s="46" t="str">
        <f>IF(R466="","",RIGHT(R466,LEN(R466)-FIND("@",R466)))</f>
        <v>gmail.com</v>
      </c>
      <c r="AG466" s="47">
        <f>LEN(R466)-LEN(SUBSTITUTE(R466," ",""))</f>
        <v>0</v>
      </c>
      <c r="AH466" s="46" t="str">
        <f>SUBSTITUTE(R466," ","")</f>
        <v>irvanavens12@gmail.com</v>
      </c>
      <c r="AI466" s="46">
        <f>LEN(AH466)-LEN(SUBSTITUTE(AH466," ",""))</f>
        <v>0</v>
      </c>
    </row>
    <row r="467" spans="1:35" x14ac:dyDescent="0.25">
      <c r="A467" s="36">
        <v>460</v>
      </c>
      <c r="B467" s="37" t="s">
        <v>3938</v>
      </c>
      <c r="C467" s="38" t="s">
        <v>3939</v>
      </c>
      <c r="D467" s="39">
        <v>28030</v>
      </c>
      <c r="E467" s="38" t="s">
        <v>40</v>
      </c>
      <c r="F467" s="38" t="s">
        <v>304</v>
      </c>
      <c r="G467" s="38" t="s">
        <v>3940</v>
      </c>
      <c r="H467" s="38" t="s">
        <v>113</v>
      </c>
      <c r="I467" s="38" t="s">
        <v>44</v>
      </c>
      <c r="J467" s="41" t="s">
        <v>3941</v>
      </c>
      <c r="K467" s="41" t="s">
        <v>3942</v>
      </c>
      <c r="L467" s="41"/>
      <c r="M467" s="38"/>
      <c r="N467" s="43" t="s">
        <v>3943</v>
      </c>
      <c r="O467" s="43" t="s">
        <v>76</v>
      </c>
      <c r="P467" s="41" t="s">
        <v>3944</v>
      </c>
      <c r="Q467" s="43" t="s">
        <v>3945</v>
      </c>
      <c r="R467" s="50" t="s">
        <v>3946</v>
      </c>
      <c r="S467" s="38" t="s">
        <v>3947</v>
      </c>
      <c r="T467" s="38"/>
      <c r="U467" s="38"/>
      <c r="V467" s="52">
        <v>43647</v>
      </c>
      <c r="W467" s="41" t="s">
        <v>3948</v>
      </c>
      <c r="X467" s="38">
        <v>1432</v>
      </c>
      <c r="Y467" s="38" t="s">
        <v>52</v>
      </c>
      <c r="Z467" s="38" t="s">
        <v>156</v>
      </c>
      <c r="AA467" s="38" t="s">
        <v>125</v>
      </c>
      <c r="AB467" s="38" t="s">
        <v>3949</v>
      </c>
      <c r="AC467" s="45"/>
      <c r="AD467" s="7"/>
      <c r="AE467" s="7"/>
      <c r="AF467" s="46" t="str">
        <f>IF(R467="","",RIGHT(R467,LEN(R467)-FIND("@",R467)))</f>
        <v>gmail.com</v>
      </c>
      <c r="AG467" s="47">
        <f>LEN(R467)-LEN(SUBSTITUTE(R467," ",""))</f>
        <v>0</v>
      </c>
      <c r="AH467" s="46" t="str">
        <f>SUBSTITUTE(R467," ","")</f>
        <v>budypalapa1976@gmail.com</v>
      </c>
      <c r="AI467" s="46">
        <f>LEN(AH467)-LEN(SUBSTITUTE(AH467," ",""))</f>
        <v>0</v>
      </c>
    </row>
    <row r="468" spans="1:35" x14ac:dyDescent="0.25">
      <c r="A468" s="36">
        <v>461</v>
      </c>
      <c r="B468" s="37" t="s">
        <v>3950</v>
      </c>
      <c r="C468" s="38" t="s">
        <v>328</v>
      </c>
      <c r="D468" s="39">
        <v>37155</v>
      </c>
      <c r="E468" s="38" t="s">
        <v>40</v>
      </c>
      <c r="F468" s="40" t="s">
        <v>48</v>
      </c>
      <c r="G468" s="38" t="s">
        <v>3951</v>
      </c>
      <c r="H468" s="38" t="s">
        <v>113</v>
      </c>
      <c r="I468" s="38" t="s">
        <v>114</v>
      </c>
      <c r="J468" s="41" t="s">
        <v>3952</v>
      </c>
      <c r="K468" s="41" t="s">
        <v>3953</v>
      </c>
      <c r="L468" s="43"/>
      <c r="M468" s="38" t="s">
        <v>99</v>
      </c>
      <c r="N468" s="43" t="s">
        <v>48</v>
      </c>
      <c r="O468" s="43"/>
      <c r="P468" s="41" t="s">
        <v>672</v>
      </c>
      <c r="Q468" s="43" t="s">
        <v>3954</v>
      </c>
      <c r="R468" s="50" t="s">
        <v>3955</v>
      </c>
      <c r="S468" s="38" t="s">
        <v>3956</v>
      </c>
      <c r="T468" s="38" t="s">
        <v>152</v>
      </c>
      <c r="U468" s="38" t="s">
        <v>3957</v>
      </c>
      <c r="V468" s="60">
        <v>43657</v>
      </c>
      <c r="W468" s="41" t="s">
        <v>3958</v>
      </c>
      <c r="X468" s="38">
        <v>1433</v>
      </c>
      <c r="Y468" s="38" t="s">
        <v>52</v>
      </c>
      <c r="Z468" s="38" t="s">
        <v>156</v>
      </c>
      <c r="AA468" s="38" t="s">
        <v>125</v>
      </c>
      <c r="AB468" s="38" t="s">
        <v>341</v>
      </c>
      <c r="AC468" s="45"/>
      <c r="AD468" s="7"/>
      <c r="AE468" s="7"/>
      <c r="AF468" s="46"/>
      <c r="AG468" s="47"/>
      <c r="AH468" s="46"/>
      <c r="AI468" s="46"/>
    </row>
    <row r="469" spans="1:35" x14ac:dyDescent="0.25">
      <c r="A469" s="36">
        <v>462</v>
      </c>
      <c r="B469" s="37" t="s">
        <v>3959</v>
      </c>
      <c r="C469" s="38" t="s">
        <v>94</v>
      </c>
      <c r="D469" s="39">
        <v>36122</v>
      </c>
      <c r="E469" s="38" t="s">
        <v>40</v>
      </c>
      <c r="F469" s="40" t="s">
        <v>48</v>
      </c>
      <c r="G469" s="38" t="s">
        <v>3960</v>
      </c>
      <c r="H469" s="38" t="s">
        <v>72</v>
      </c>
      <c r="I469" s="38" t="s">
        <v>114</v>
      </c>
      <c r="J469" s="43" t="s">
        <v>3961</v>
      </c>
      <c r="K469" s="43" t="s">
        <v>3962</v>
      </c>
      <c r="L469" s="43"/>
      <c r="M469" s="38" t="s">
        <v>99</v>
      </c>
      <c r="N469" s="43" t="s">
        <v>3963</v>
      </c>
      <c r="O469" s="43" t="s">
        <v>147</v>
      </c>
      <c r="P469" s="63" t="s">
        <v>3964</v>
      </c>
      <c r="Q469" s="43" t="s">
        <v>3965</v>
      </c>
      <c r="R469" s="50" t="s">
        <v>3966</v>
      </c>
      <c r="S469" s="38" t="s">
        <v>3967</v>
      </c>
      <c r="T469" s="38" t="s">
        <v>1934</v>
      </c>
      <c r="U469" s="40" t="s">
        <v>3968</v>
      </c>
      <c r="V469" s="60">
        <v>43657</v>
      </c>
      <c r="W469" s="41" t="s">
        <v>3969</v>
      </c>
      <c r="X469" s="38">
        <v>1434</v>
      </c>
      <c r="Y469" s="38" t="s">
        <v>52</v>
      </c>
      <c r="Z469" s="38" t="s">
        <v>2522</v>
      </c>
      <c r="AA469" s="38" t="s">
        <v>82</v>
      </c>
      <c r="AB469" s="38" t="s">
        <v>55</v>
      </c>
      <c r="AC469" s="45"/>
      <c r="AD469" s="7"/>
      <c r="AE469" s="7"/>
      <c r="AF469" s="46" t="str">
        <f>IF(R469="","",RIGHT(R469,LEN(R469)-FIND("@",R469)))</f>
        <v>gmail.com</v>
      </c>
      <c r="AG469" s="47">
        <f>LEN(R469)-LEN(SUBSTITUTE(R469," ",""))</f>
        <v>0</v>
      </c>
      <c r="AH469" s="46" t="str">
        <f>SUBSTITUTE(R469," ","")</f>
        <v>gedesumita@gmail.com</v>
      </c>
      <c r="AI469" s="46">
        <f>LEN(AH469)-LEN(SUBSTITUTE(AH469," ",""))</f>
        <v>0</v>
      </c>
    </row>
    <row r="470" spans="1:35" x14ac:dyDescent="0.25">
      <c r="A470" s="36">
        <v>463</v>
      </c>
      <c r="B470" s="37" t="s">
        <v>3970</v>
      </c>
      <c r="C470" s="38" t="s">
        <v>3873</v>
      </c>
      <c r="D470" s="39">
        <v>35430</v>
      </c>
      <c r="E470" s="38" t="s">
        <v>40</v>
      </c>
      <c r="F470" s="40" t="s">
        <v>48</v>
      </c>
      <c r="G470" s="38" t="s">
        <v>3971</v>
      </c>
      <c r="H470" s="38" t="s">
        <v>113</v>
      </c>
      <c r="I470" s="38" t="s">
        <v>114</v>
      </c>
      <c r="J470" s="41" t="s">
        <v>3972</v>
      </c>
      <c r="K470" s="41" t="s">
        <v>3973</v>
      </c>
      <c r="L470" s="43"/>
      <c r="M470" s="38" t="s">
        <v>99</v>
      </c>
      <c r="N470" s="43" t="s">
        <v>3974</v>
      </c>
      <c r="O470" s="43" t="s">
        <v>428</v>
      </c>
      <c r="P470" s="41" t="s">
        <v>3975</v>
      </c>
      <c r="Q470" s="43" t="s">
        <v>3976</v>
      </c>
      <c r="R470" s="50" t="s">
        <v>3977</v>
      </c>
      <c r="S470" s="38" t="s">
        <v>3978</v>
      </c>
      <c r="T470" s="38" t="s">
        <v>613</v>
      </c>
      <c r="U470" s="38" t="s">
        <v>3979</v>
      </c>
      <c r="V470" s="60">
        <v>43658</v>
      </c>
      <c r="W470" s="41" t="s">
        <v>3980</v>
      </c>
      <c r="X470" s="38">
        <v>1435</v>
      </c>
      <c r="Y470" s="38" t="s">
        <v>52</v>
      </c>
      <c r="Z470" s="38" t="s">
        <v>156</v>
      </c>
      <c r="AA470" s="38" t="s">
        <v>125</v>
      </c>
      <c r="AB470" s="38" t="s">
        <v>157</v>
      </c>
      <c r="AC470" s="45"/>
      <c r="AD470" s="7"/>
      <c r="AE470" s="7"/>
      <c r="AF470" s="46" t="str">
        <f>IF(R470="","",RIGHT(R470,LEN(R470)-FIND("@",R470)))</f>
        <v>gmail.com</v>
      </c>
      <c r="AG470" s="47">
        <f>LEN(R470)-LEN(SUBSTITUTE(R470," ",""))</f>
        <v>0</v>
      </c>
      <c r="AH470" s="46" t="str">
        <f>SUBSTITUTE(R470," ","")</f>
        <v>hasgafi@gmail.com</v>
      </c>
      <c r="AI470" s="46">
        <f>LEN(AH470)-LEN(SUBSTITUTE(AH470," ",""))</f>
        <v>0</v>
      </c>
    </row>
    <row r="471" spans="1:35" x14ac:dyDescent="0.25">
      <c r="A471" s="48">
        <v>464</v>
      </c>
      <c r="B471" s="53" t="s">
        <v>3981</v>
      </c>
      <c r="C471" s="54" t="s">
        <v>328</v>
      </c>
      <c r="D471" s="55">
        <v>35118</v>
      </c>
      <c r="E471" s="54" t="s">
        <v>40</v>
      </c>
      <c r="F471" s="53"/>
      <c r="G471" s="54" t="s">
        <v>3982</v>
      </c>
      <c r="H471" s="54"/>
      <c r="I471" s="54"/>
      <c r="J471" s="54" t="s">
        <v>3983</v>
      </c>
      <c r="K471" s="54"/>
      <c r="L471" s="54"/>
      <c r="M471" s="54"/>
      <c r="N471" s="54"/>
      <c r="O471" s="54"/>
      <c r="P471" s="54"/>
      <c r="Q471" s="54" t="s">
        <v>3984</v>
      </c>
      <c r="R471" s="57" t="s">
        <v>74</v>
      </c>
      <c r="S471" s="54" t="s">
        <v>3985</v>
      </c>
      <c r="T471" s="54"/>
      <c r="U471" s="54" t="s">
        <v>3986</v>
      </c>
      <c r="V471" s="55">
        <v>43661</v>
      </c>
      <c r="W471" s="54"/>
      <c r="X471" s="54"/>
      <c r="Y471" s="54" t="s">
        <v>85</v>
      </c>
      <c r="Z471" s="54" t="s">
        <v>156</v>
      </c>
      <c r="AA471" s="54" t="s">
        <v>125</v>
      </c>
      <c r="AB471" s="54" t="s">
        <v>157</v>
      </c>
      <c r="AC471" s="58">
        <v>43880</v>
      </c>
      <c r="AD471" s="7"/>
      <c r="AE471" s="7"/>
      <c r="AF471" s="46"/>
      <c r="AG471" s="47"/>
      <c r="AH471" s="46"/>
      <c r="AI471" s="46"/>
    </row>
    <row r="472" spans="1:35" x14ac:dyDescent="0.25">
      <c r="A472" s="36">
        <v>465</v>
      </c>
      <c r="B472" s="37" t="s">
        <v>3987</v>
      </c>
      <c r="C472" s="38" t="s">
        <v>469</v>
      </c>
      <c r="D472" s="39">
        <v>36844</v>
      </c>
      <c r="E472" s="38" t="s">
        <v>40</v>
      </c>
      <c r="F472" s="40" t="s">
        <v>48</v>
      </c>
      <c r="G472" s="38" t="s">
        <v>3988</v>
      </c>
      <c r="H472" s="38" t="s">
        <v>72</v>
      </c>
      <c r="I472" s="38" t="s">
        <v>114</v>
      </c>
      <c r="J472" s="43" t="s">
        <v>3989</v>
      </c>
      <c r="K472" s="43" t="s">
        <v>3990</v>
      </c>
      <c r="L472" s="41"/>
      <c r="M472" s="38" t="s">
        <v>99</v>
      </c>
      <c r="N472" s="43" t="s">
        <v>48</v>
      </c>
      <c r="O472" s="43"/>
      <c r="P472" s="41" t="s">
        <v>3991</v>
      </c>
      <c r="Q472" s="41" t="s">
        <v>3992</v>
      </c>
      <c r="R472" s="50" t="s">
        <v>3993</v>
      </c>
      <c r="S472" s="38" t="s">
        <v>3994</v>
      </c>
      <c r="T472" s="38" t="s">
        <v>3995</v>
      </c>
      <c r="U472" s="38" t="s">
        <v>3996</v>
      </c>
      <c r="V472" s="52">
        <v>43668</v>
      </c>
      <c r="W472" s="41" t="s">
        <v>3997</v>
      </c>
      <c r="X472" s="38">
        <v>1437</v>
      </c>
      <c r="Y472" s="38" t="s">
        <v>52</v>
      </c>
      <c r="Z472" s="38" t="s">
        <v>156</v>
      </c>
      <c r="AA472" s="38" t="s">
        <v>125</v>
      </c>
      <c r="AB472" s="38" t="s">
        <v>173</v>
      </c>
      <c r="AC472" s="45"/>
      <c r="AD472" s="7"/>
      <c r="AE472" s="7"/>
      <c r="AF472" s="46" t="str">
        <f>IF(R472="","",RIGHT(R472,LEN(R472)-FIND("@",R472)))</f>
        <v>icloud.com</v>
      </c>
      <c r="AG472" s="47">
        <f>LEN(R472)-LEN(SUBSTITUTE(R472," ",""))</f>
        <v>0</v>
      </c>
      <c r="AH472" s="46" t="str">
        <f>SUBSTITUTE(R472," ","")</f>
        <v>tapanjing123@icloud.com</v>
      </c>
      <c r="AI472" s="46">
        <f>LEN(AH472)-LEN(SUBSTITUTE(AH472," ",""))</f>
        <v>0</v>
      </c>
    </row>
    <row r="473" spans="1:35" x14ac:dyDescent="0.25">
      <c r="A473" s="36">
        <v>466</v>
      </c>
      <c r="B473" s="37" t="s">
        <v>3998</v>
      </c>
      <c r="C473" s="38" t="s">
        <v>3999</v>
      </c>
      <c r="D473" s="39">
        <v>35108</v>
      </c>
      <c r="E473" s="38" t="s">
        <v>40</v>
      </c>
      <c r="F473" s="40" t="s">
        <v>48</v>
      </c>
      <c r="G473" s="38" t="s">
        <v>4000</v>
      </c>
      <c r="H473" s="38" t="s">
        <v>510</v>
      </c>
      <c r="I473" s="38" t="s">
        <v>114</v>
      </c>
      <c r="J473" s="41" t="s">
        <v>4001</v>
      </c>
      <c r="K473" s="41" t="s">
        <v>4002</v>
      </c>
      <c r="L473" s="41"/>
      <c r="M473" s="38" t="s">
        <v>99</v>
      </c>
      <c r="N473" s="43" t="s">
        <v>4003</v>
      </c>
      <c r="O473" s="43" t="s">
        <v>428</v>
      </c>
      <c r="P473" s="41" t="s">
        <v>4004</v>
      </c>
      <c r="Q473" s="43" t="s">
        <v>4005</v>
      </c>
      <c r="R473" s="50" t="s">
        <v>4006</v>
      </c>
      <c r="S473" s="38" t="s">
        <v>4007</v>
      </c>
      <c r="T473" s="38" t="s">
        <v>4008</v>
      </c>
      <c r="U473" s="38" t="s">
        <v>4009</v>
      </c>
      <c r="V473" s="60">
        <v>43675</v>
      </c>
      <c r="W473" s="41" t="s">
        <v>4010</v>
      </c>
      <c r="X473" s="38">
        <v>1438</v>
      </c>
      <c r="Y473" s="38" t="s">
        <v>52</v>
      </c>
      <c r="Z473" s="38" t="s">
        <v>156</v>
      </c>
      <c r="AA473" s="38" t="s">
        <v>125</v>
      </c>
      <c r="AB473" s="38" t="s">
        <v>140</v>
      </c>
      <c r="AC473" s="45"/>
      <c r="AD473" s="7"/>
      <c r="AE473" s="7"/>
      <c r="AF473" s="46"/>
      <c r="AG473" s="47"/>
      <c r="AH473" s="46"/>
      <c r="AI473" s="46"/>
    </row>
    <row r="474" spans="1:35" x14ac:dyDescent="0.25">
      <c r="A474" s="36">
        <v>467</v>
      </c>
      <c r="B474" s="53" t="s">
        <v>4011</v>
      </c>
      <c r="C474" s="54"/>
      <c r="D474" s="55"/>
      <c r="E474" s="54" t="s">
        <v>95</v>
      </c>
      <c r="F474" s="54"/>
      <c r="G474" s="54"/>
      <c r="H474" s="54"/>
      <c r="I474" s="54"/>
      <c r="J474" s="68" t="s">
        <v>74</v>
      </c>
      <c r="K474" s="68" t="s">
        <v>74</v>
      </c>
      <c r="L474" s="66"/>
      <c r="M474" s="54" t="s">
        <v>99</v>
      </c>
      <c r="N474" s="68" t="s">
        <v>74</v>
      </c>
      <c r="O474" s="68"/>
      <c r="P474" s="66"/>
      <c r="Q474" s="68" t="s">
        <v>74</v>
      </c>
      <c r="R474" s="57" t="s">
        <v>74</v>
      </c>
      <c r="S474" s="54"/>
      <c r="T474" s="54"/>
      <c r="U474" s="69" t="s">
        <v>74</v>
      </c>
      <c r="V474" s="55">
        <v>43678</v>
      </c>
      <c r="W474" s="68" t="s">
        <v>4012</v>
      </c>
      <c r="X474" s="54" t="s">
        <v>4013</v>
      </c>
      <c r="Y474" s="54" t="s">
        <v>85</v>
      </c>
      <c r="Z474" s="54" t="s">
        <v>4014</v>
      </c>
      <c r="AA474" s="54" t="s">
        <v>4015</v>
      </c>
      <c r="AB474" s="54" t="s">
        <v>4016</v>
      </c>
      <c r="AC474" s="58">
        <v>43836</v>
      </c>
      <c r="AD474" s="7"/>
      <c r="AE474" s="7"/>
      <c r="AF474" s="46"/>
      <c r="AG474" s="47"/>
      <c r="AH474" s="46"/>
      <c r="AI474" s="46"/>
    </row>
    <row r="475" spans="1:35" x14ac:dyDescent="0.25">
      <c r="A475" s="36">
        <v>468</v>
      </c>
      <c r="B475" s="53" t="s">
        <v>4017</v>
      </c>
      <c r="C475" s="54" t="s">
        <v>548</v>
      </c>
      <c r="D475" s="55">
        <v>33940</v>
      </c>
      <c r="E475" s="54" t="s">
        <v>40</v>
      </c>
      <c r="F475" s="53"/>
      <c r="G475" s="54" t="s">
        <v>4018</v>
      </c>
      <c r="H475" s="54"/>
      <c r="I475" s="54"/>
      <c r="J475" s="54" t="s">
        <v>4019</v>
      </c>
      <c r="K475" s="54"/>
      <c r="L475" s="54"/>
      <c r="M475" s="54"/>
      <c r="N475" s="54"/>
      <c r="O475" s="54"/>
      <c r="P475" s="54"/>
      <c r="Q475" s="54" t="s">
        <v>4020</v>
      </c>
      <c r="R475" s="57" t="s">
        <v>74</v>
      </c>
      <c r="S475" s="54" t="s">
        <v>4021</v>
      </c>
      <c r="T475" s="54"/>
      <c r="U475" s="54" t="s">
        <v>4022</v>
      </c>
      <c r="V475" s="55">
        <v>43678</v>
      </c>
      <c r="W475" s="54"/>
      <c r="X475" s="54"/>
      <c r="Y475" s="54" t="s">
        <v>85</v>
      </c>
      <c r="Z475" s="54" t="s">
        <v>396</v>
      </c>
      <c r="AA475" s="54" t="s">
        <v>4015</v>
      </c>
      <c r="AB475" s="54" t="s">
        <v>4023</v>
      </c>
      <c r="AC475" s="58">
        <v>43769</v>
      </c>
      <c r="AD475" s="7"/>
      <c r="AE475" s="7"/>
      <c r="AF475" s="46"/>
      <c r="AG475" s="47"/>
      <c r="AH475" s="46"/>
      <c r="AI475" s="46"/>
    </row>
    <row r="476" spans="1:35" x14ac:dyDescent="0.25">
      <c r="A476" s="36">
        <v>469</v>
      </c>
      <c r="B476" s="37" t="s">
        <v>4024</v>
      </c>
      <c r="C476" s="38" t="s">
        <v>3683</v>
      </c>
      <c r="D476" s="39">
        <v>36370</v>
      </c>
      <c r="E476" s="38" t="s">
        <v>40</v>
      </c>
      <c r="F476" s="40" t="s">
        <v>48</v>
      </c>
      <c r="G476" s="38" t="s">
        <v>4025</v>
      </c>
      <c r="H476" s="38" t="s">
        <v>72</v>
      </c>
      <c r="I476" s="38" t="s">
        <v>114</v>
      </c>
      <c r="J476" s="43" t="s">
        <v>4026</v>
      </c>
      <c r="K476" s="43" t="s">
        <v>4027</v>
      </c>
      <c r="L476" s="43"/>
      <c r="M476" s="38" t="s">
        <v>99</v>
      </c>
      <c r="N476" s="43" t="s">
        <v>4028</v>
      </c>
      <c r="O476" s="43" t="s">
        <v>3045</v>
      </c>
      <c r="P476" s="41" t="s">
        <v>4029</v>
      </c>
      <c r="Q476" s="41" t="s">
        <v>4030</v>
      </c>
      <c r="R476" s="50" t="s">
        <v>4031</v>
      </c>
      <c r="S476" s="38" t="s">
        <v>4032</v>
      </c>
      <c r="T476" s="38" t="s">
        <v>927</v>
      </c>
      <c r="U476" s="40" t="s">
        <v>4033</v>
      </c>
      <c r="V476" s="52">
        <v>43682</v>
      </c>
      <c r="W476" s="41" t="s">
        <v>4034</v>
      </c>
      <c r="X476" s="38">
        <v>1441</v>
      </c>
      <c r="Y476" s="38" t="s">
        <v>52</v>
      </c>
      <c r="Z476" s="38" t="s">
        <v>396</v>
      </c>
      <c r="AA476" s="38" t="s">
        <v>82</v>
      </c>
      <c r="AB476" s="38" t="s">
        <v>55</v>
      </c>
      <c r="AC476" s="45"/>
      <c r="AD476" s="7"/>
      <c r="AE476" s="7"/>
      <c r="AF476" s="46" t="str">
        <f>IF(R476="","",RIGHT(R476,LEN(R476)-FIND("@",R476)))</f>
        <v>yahoo.com</v>
      </c>
      <c r="AG476" s="47">
        <f>LEN(R476)-LEN(SUBSTITUTE(R476," ",""))</f>
        <v>0</v>
      </c>
      <c r="AH476" s="46" t="str">
        <f>SUBSTITUTE(R476," ","")</f>
        <v>ngurahyogi1@yahoo.com</v>
      </c>
      <c r="AI476" s="46">
        <f>LEN(AH476)-LEN(SUBSTITUTE(AH476," ",""))</f>
        <v>0</v>
      </c>
    </row>
    <row r="477" spans="1:35" x14ac:dyDescent="0.25">
      <c r="A477" s="48">
        <v>470</v>
      </c>
      <c r="B477" s="37" t="s">
        <v>4035</v>
      </c>
      <c r="C477" s="38" t="s">
        <v>94</v>
      </c>
      <c r="D477" s="39">
        <v>36732</v>
      </c>
      <c r="E477" s="38" t="s">
        <v>40</v>
      </c>
      <c r="F477" s="38" t="s">
        <v>48</v>
      </c>
      <c r="G477" s="38" t="s">
        <v>3700</v>
      </c>
      <c r="H477" s="38" t="s">
        <v>72</v>
      </c>
      <c r="I477" s="38" t="s">
        <v>114</v>
      </c>
      <c r="J477" s="38" t="s">
        <v>4036</v>
      </c>
      <c r="K477" s="38" t="s">
        <v>4037</v>
      </c>
      <c r="L477" s="38"/>
      <c r="M477" s="38" t="s">
        <v>99</v>
      </c>
      <c r="N477" s="43" t="s">
        <v>48</v>
      </c>
      <c r="O477" s="43"/>
      <c r="P477" s="38">
        <v>20006263873</v>
      </c>
      <c r="Q477" s="38" t="s">
        <v>4038</v>
      </c>
      <c r="R477" s="50" t="s">
        <v>4039</v>
      </c>
      <c r="S477" s="38" t="s">
        <v>4040</v>
      </c>
      <c r="T477" s="38" t="s">
        <v>2693</v>
      </c>
      <c r="U477" s="38" t="s">
        <v>4041</v>
      </c>
      <c r="V477" s="52">
        <v>43682</v>
      </c>
      <c r="W477" s="41" t="s">
        <v>4042</v>
      </c>
      <c r="X477" s="38">
        <v>1440</v>
      </c>
      <c r="Y477" s="38" t="s">
        <v>52</v>
      </c>
      <c r="Z477" s="38" t="s">
        <v>396</v>
      </c>
      <c r="AA477" s="38" t="s">
        <v>3569</v>
      </c>
      <c r="AB477" s="38" t="s">
        <v>55</v>
      </c>
      <c r="AC477" s="45"/>
      <c r="AD477" s="7"/>
      <c r="AE477" s="7"/>
      <c r="AF477" s="46" t="str">
        <f>IF(R477="","",RIGHT(R477,LEN(R477)-FIND("@",R477)))</f>
        <v>gmail.com</v>
      </c>
      <c r="AG477" s="47">
        <f>LEN(R477)-LEN(SUBSTITUTE(R477," ",""))</f>
        <v>0</v>
      </c>
      <c r="AH477" s="46" t="str">
        <f>SUBSTITUTE(R477," ","")</f>
        <v>artakomang603@gmail.com</v>
      </c>
      <c r="AI477" s="46">
        <f>LEN(AH477)-LEN(SUBSTITUTE(AH477," ",""))</f>
        <v>0</v>
      </c>
    </row>
    <row r="478" spans="1:35" x14ac:dyDescent="0.25">
      <c r="A478" s="36">
        <v>471</v>
      </c>
      <c r="B478" s="53" t="s">
        <v>4043</v>
      </c>
      <c r="C478" s="54" t="s">
        <v>4044</v>
      </c>
      <c r="D478" s="55">
        <v>36325</v>
      </c>
      <c r="E478" s="54" t="s">
        <v>40</v>
      </c>
      <c r="F478" s="53"/>
      <c r="G478" s="54" t="s">
        <v>4045</v>
      </c>
      <c r="H478" s="54"/>
      <c r="I478" s="54"/>
      <c r="J478" s="54" t="s">
        <v>4046</v>
      </c>
      <c r="K478" s="54"/>
      <c r="L478" s="54"/>
      <c r="M478" s="54"/>
      <c r="N478" s="54"/>
      <c r="O478" s="54"/>
      <c r="P478" s="54"/>
      <c r="Q478" s="54" t="s">
        <v>4047</v>
      </c>
      <c r="R478" s="57" t="s">
        <v>74</v>
      </c>
      <c r="S478" s="54" t="s">
        <v>4048</v>
      </c>
      <c r="T478" s="54"/>
      <c r="U478" s="54" t="s">
        <v>4049</v>
      </c>
      <c r="V478" s="55">
        <v>43683</v>
      </c>
      <c r="W478" s="54"/>
      <c r="X478" s="54"/>
      <c r="Y478" s="54" t="s">
        <v>85</v>
      </c>
      <c r="Z478" s="54" t="s">
        <v>2558</v>
      </c>
      <c r="AA478" s="54" t="s">
        <v>4015</v>
      </c>
      <c r="AB478" s="54" t="s">
        <v>1640</v>
      </c>
      <c r="AC478" s="58">
        <v>43800</v>
      </c>
      <c r="AD478" s="7"/>
      <c r="AE478" s="7"/>
      <c r="AF478" s="46"/>
      <c r="AG478" s="47"/>
      <c r="AH478" s="46"/>
      <c r="AI478" s="46"/>
    </row>
    <row r="479" spans="1:35" x14ac:dyDescent="0.25">
      <c r="A479" s="36">
        <v>472</v>
      </c>
      <c r="B479" s="37" t="s">
        <v>4050</v>
      </c>
      <c r="C479" s="38" t="s">
        <v>267</v>
      </c>
      <c r="D479" s="39">
        <v>35584</v>
      </c>
      <c r="E479" s="38" t="s">
        <v>95</v>
      </c>
      <c r="F479" s="38" t="s">
        <v>48</v>
      </c>
      <c r="G479" s="38" t="s">
        <v>4051</v>
      </c>
      <c r="H479" s="38" t="s">
        <v>113</v>
      </c>
      <c r="I479" s="38" t="s">
        <v>114</v>
      </c>
      <c r="J479" s="38" t="s">
        <v>4052</v>
      </c>
      <c r="K479" s="38" t="s">
        <v>4053</v>
      </c>
      <c r="L479" s="38"/>
      <c r="M479" s="38" t="s">
        <v>99</v>
      </c>
      <c r="N479" s="38" t="s">
        <v>4054</v>
      </c>
      <c r="O479" s="38" t="s">
        <v>147</v>
      </c>
      <c r="P479" s="38">
        <v>20006263857</v>
      </c>
      <c r="Q479" s="38" t="s">
        <v>4055</v>
      </c>
      <c r="R479" s="50" t="s">
        <v>4056</v>
      </c>
      <c r="S479" s="38" t="s">
        <v>4057</v>
      </c>
      <c r="T479" s="38" t="s">
        <v>4058</v>
      </c>
      <c r="U479" s="38" t="s">
        <v>4059</v>
      </c>
      <c r="V479" s="52">
        <v>43692</v>
      </c>
      <c r="W479" s="41" t="s">
        <v>4060</v>
      </c>
      <c r="X479" s="38">
        <v>1443</v>
      </c>
      <c r="Y479" s="38" t="s">
        <v>52</v>
      </c>
      <c r="Z479" s="38" t="s">
        <v>396</v>
      </c>
      <c r="AA479" s="38" t="s">
        <v>3569</v>
      </c>
      <c r="AB479" s="38" t="s">
        <v>55</v>
      </c>
      <c r="AC479" s="45"/>
      <c r="AD479" s="7"/>
      <c r="AE479" s="7"/>
      <c r="AF479" s="46" t="str">
        <f>IF(R479="","",RIGHT(R479,LEN(R479)-FIND("@",R479)))</f>
        <v>gmail.com</v>
      </c>
      <c r="AG479" s="47">
        <f>LEN(R479)-LEN(SUBSTITUTE(R479," ",""))</f>
        <v>0</v>
      </c>
      <c r="AH479" s="46" t="str">
        <f>SUBSTITUTE(R479," ","")</f>
        <v>lutviawardani0306@gmail.com</v>
      </c>
      <c r="AI479" s="46">
        <f>LEN(AH479)-LEN(SUBSTITUTE(AH479," ",""))</f>
        <v>0</v>
      </c>
    </row>
    <row r="480" spans="1:35" x14ac:dyDescent="0.25">
      <c r="A480" s="36">
        <v>473</v>
      </c>
      <c r="B480" s="37" t="s">
        <v>4061</v>
      </c>
      <c r="C480" s="38" t="s">
        <v>712</v>
      </c>
      <c r="D480" s="39">
        <v>35263</v>
      </c>
      <c r="E480" s="38" t="s">
        <v>95</v>
      </c>
      <c r="F480" s="38" t="s">
        <v>48</v>
      </c>
      <c r="G480" s="38" t="s">
        <v>4062</v>
      </c>
      <c r="H480" s="38" t="s">
        <v>72</v>
      </c>
      <c r="I480" s="38" t="s">
        <v>114</v>
      </c>
      <c r="J480" s="38" t="s">
        <v>4063</v>
      </c>
      <c r="K480" s="38" t="s">
        <v>4064</v>
      </c>
      <c r="L480" s="42" t="s">
        <v>4065</v>
      </c>
      <c r="M480" s="38" t="s">
        <v>99</v>
      </c>
      <c r="N480" s="43" t="s">
        <v>4066</v>
      </c>
      <c r="O480" s="43" t="s">
        <v>164</v>
      </c>
      <c r="P480" s="38">
        <v>20006263865</v>
      </c>
      <c r="Q480" s="38" t="s">
        <v>4067</v>
      </c>
      <c r="R480" s="50" t="s">
        <v>4068</v>
      </c>
      <c r="S480" s="38" t="s">
        <v>4069</v>
      </c>
      <c r="T480" s="38" t="s">
        <v>412</v>
      </c>
      <c r="U480" s="38" t="s">
        <v>4070</v>
      </c>
      <c r="V480" s="52">
        <v>43696</v>
      </c>
      <c r="W480" s="41" t="s">
        <v>4071</v>
      </c>
      <c r="X480" s="38">
        <v>1444</v>
      </c>
      <c r="Y480" s="38" t="s">
        <v>52</v>
      </c>
      <c r="Z480" s="38" t="s">
        <v>396</v>
      </c>
      <c r="AA480" s="38" t="s">
        <v>3569</v>
      </c>
      <c r="AB480" s="38" t="s">
        <v>55</v>
      </c>
      <c r="AC480" s="45"/>
      <c r="AD480" s="7"/>
      <c r="AE480" s="7"/>
      <c r="AF480" s="46" t="str">
        <f>IF(R480="","",RIGHT(R480,LEN(R480)-FIND("@",R480)))</f>
        <v>gmail.com</v>
      </c>
      <c r="AG480" s="47">
        <f>LEN(R480)-LEN(SUBSTITUTE(R480," ",""))</f>
        <v>0</v>
      </c>
      <c r="AH480" s="46" t="str">
        <f>SUBSTITUTE(R480," ","")</f>
        <v>widhiningrat@gmail.com</v>
      </c>
      <c r="AI480" s="46">
        <f>LEN(AH480)-LEN(SUBSTITUTE(AH480," ",""))</f>
        <v>0</v>
      </c>
    </row>
    <row r="481" spans="1:35" x14ac:dyDescent="0.25">
      <c r="A481" s="36">
        <v>474</v>
      </c>
      <c r="B481" s="37" t="s">
        <v>4072</v>
      </c>
      <c r="C481" s="38" t="s">
        <v>273</v>
      </c>
      <c r="D481" s="39">
        <v>36612</v>
      </c>
      <c r="E481" s="38" t="s">
        <v>40</v>
      </c>
      <c r="F481" s="40" t="s">
        <v>48</v>
      </c>
      <c r="G481" s="38" t="s">
        <v>4073</v>
      </c>
      <c r="H481" s="38" t="s">
        <v>113</v>
      </c>
      <c r="I481" s="38" t="s">
        <v>114</v>
      </c>
      <c r="J481" s="43" t="s">
        <v>4074</v>
      </c>
      <c r="K481" s="43" t="s">
        <v>4075</v>
      </c>
      <c r="L481" s="43"/>
      <c r="M481" s="38" t="s">
        <v>99</v>
      </c>
      <c r="N481" s="43" t="s">
        <v>4076</v>
      </c>
      <c r="O481" s="43" t="s">
        <v>164</v>
      </c>
      <c r="P481" s="41" t="s">
        <v>4077</v>
      </c>
      <c r="Q481" s="43" t="s">
        <v>4078</v>
      </c>
      <c r="R481" s="50" t="s">
        <v>4079</v>
      </c>
      <c r="S481" s="38" t="s">
        <v>4080</v>
      </c>
      <c r="T481" s="38" t="s">
        <v>463</v>
      </c>
      <c r="U481" s="40" t="s">
        <v>48</v>
      </c>
      <c r="V481" s="52">
        <v>43700</v>
      </c>
      <c r="W481" s="41" t="s">
        <v>4081</v>
      </c>
      <c r="X481" s="38">
        <v>1445</v>
      </c>
      <c r="Y481" s="38" t="s">
        <v>52</v>
      </c>
      <c r="Z481" s="38" t="s">
        <v>156</v>
      </c>
      <c r="AA481" s="38" t="s">
        <v>125</v>
      </c>
      <c r="AB481" s="38" t="s">
        <v>1570</v>
      </c>
      <c r="AC481" s="45"/>
      <c r="AD481" s="7"/>
      <c r="AE481" s="7"/>
      <c r="AF481" s="46" t="str">
        <f>IF(R481="","",RIGHT(R481,LEN(R481)-FIND("@",R481)))</f>
        <v>gmail.com</v>
      </c>
      <c r="AG481" s="47">
        <f>LEN(R481)-LEN(SUBSTITUTE(R481," ",""))</f>
        <v>0</v>
      </c>
      <c r="AH481" s="46" t="str">
        <f>SUBSTITUTE(R481," ","")</f>
        <v>terjalsektorbarat22@gmail.com</v>
      </c>
      <c r="AI481" s="46">
        <f>LEN(AH481)-LEN(SUBSTITUTE(AH481," ",""))</f>
        <v>0</v>
      </c>
    </row>
    <row r="482" spans="1:35" x14ac:dyDescent="0.25">
      <c r="A482" s="36">
        <v>475</v>
      </c>
      <c r="B482" s="91" t="s">
        <v>4082</v>
      </c>
      <c r="C482" s="36" t="s">
        <v>4083</v>
      </c>
      <c r="D482" s="52">
        <v>37048</v>
      </c>
      <c r="E482" s="36" t="s">
        <v>40</v>
      </c>
      <c r="F482" s="92" t="s">
        <v>48</v>
      </c>
      <c r="G482" s="36" t="s">
        <v>4084</v>
      </c>
      <c r="H482" s="36" t="s">
        <v>72</v>
      </c>
      <c r="I482" s="36" t="s">
        <v>114</v>
      </c>
      <c r="J482" s="93" t="s">
        <v>4085</v>
      </c>
      <c r="K482" s="93" t="s">
        <v>4086</v>
      </c>
      <c r="L482" s="93"/>
      <c r="M482" s="36" t="s">
        <v>99</v>
      </c>
      <c r="N482" s="93" t="s">
        <v>4087</v>
      </c>
      <c r="O482" s="93" t="s">
        <v>164</v>
      </c>
      <c r="P482" s="94" t="s">
        <v>4088</v>
      </c>
      <c r="Q482" s="93" t="s">
        <v>4089</v>
      </c>
      <c r="R482" s="95" t="s">
        <v>4090</v>
      </c>
      <c r="S482" s="36" t="s">
        <v>4091</v>
      </c>
      <c r="T482" s="36" t="s">
        <v>65</v>
      </c>
      <c r="U482" s="92" t="s">
        <v>4092</v>
      </c>
      <c r="V482" s="52">
        <v>43703</v>
      </c>
      <c r="W482" s="96" t="s">
        <v>4093</v>
      </c>
      <c r="X482" s="36">
        <v>1446</v>
      </c>
      <c r="Y482" s="36" t="s">
        <v>52</v>
      </c>
      <c r="Z482" s="36" t="s">
        <v>172</v>
      </c>
      <c r="AA482" s="38" t="s">
        <v>125</v>
      </c>
      <c r="AB482" s="36" t="s">
        <v>546</v>
      </c>
      <c r="AC482" s="97"/>
      <c r="AD482" s="77"/>
      <c r="AE482" s="7"/>
      <c r="AF482" s="46"/>
      <c r="AG482" s="47"/>
      <c r="AH482" s="46"/>
      <c r="AI482" s="46"/>
    </row>
    <row r="483" spans="1:35" x14ac:dyDescent="0.25">
      <c r="A483" s="48">
        <v>476</v>
      </c>
      <c r="B483" s="37" t="s">
        <v>4094</v>
      </c>
      <c r="C483" s="38" t="s">
        <v>548</v>
      </c>
      <c r="D483" s="39">
        <v>36133</v>
      </c>
      <c r="E483" s="38" t="s">
        <v>40</v>
      </c>
      <c r="F483" s="38" t="s">
        <v>48</v>
      </c>
      <c r="G483" s="38" t="s">
        <v>4095</v>
      </c>
      <c r="H483" s="38" t="s">
        <v>72</v>
      </c>
      <c r="I483" s="38" t="s">
        <v>44</v>
      </c>
      <c r="J483" s="41" t="s">
        <v>4096</v>
      </c>
      <c r="K483" s="41" t="s">
        <v>4097</v>
      </c>
      <c r="L483" s="41"/>
      <c r="M483" s="38" t="s">
        <v>133</v>
      </c>
      <c r="N483" s="41" t="s">
        <v>4098</v>
      </c>
      <c r="O483" s="41" t="s">
        <v>147</v>
      </c>
      <c r="P483" s="41" t="s">
        <v>4099</v>
      </c>
      <c r="Q483" s="41" t="s">
        <v>4100</v>
      </c>
      <c r="R483" s="50" t="s">
        <v>4101</v>
      </c>
      <c r="S483" s="38" t="s">
        <v>4102</v>
      </c>
      <c r="T483" s="38" t="s">
        <v>4103</v>
      </c>
      <c r="U483" s="38" t="s">
        <v>4104</v>
      </c>
      <c r="V483" s="52">
        <v>43710</v>
      </c>
      <c r="W483" s="41" t="s">
        <v>4105</v>
      </c>
      <c r="X483" s="38">
        <v>1448</v>
      </c>
      <c r="Y483" s="38" t="s">
        <v>52</v>
      </c>
      <c r="Z483" s="38" t="s">
        <v>416</v>
      </c>
      <c r="AA483" s="38" t="s">
        <v>125</v>
      </c>
      <c r="AB483" s="38" t="s">
        <v>193</v>
      </c>
      <c r="AC483" s="45"/>
      <c r="AD483" s="7"/>
      <c r="AE483" s="7"/>
      <c r="AF483" s="46" t="str">
        <f>IF(R483="","",RIGHT(R483,LEN(R483)-FIND("@",R483)))</f>
        <v>gmail.com</v>
      </c>
      <c r="AG483" s="47">
        <f>LEN(R483)-LEN(SUBSTITUTE(R483," ",""))</f>
        <v>0</v>
      </c>
      <c r="AH483" s="46" t="str">
        <f>SUBSTITUTE(R483," ","")</f>
        <v>sugengmuvida98@gmail.com</v>
      </c>
      <c r="AI483" s="46">
        <f>LEN(AH483)-LEN(SUBSTITUTE(AH483," ",""))</f>
        <v>0</v>
      </c>
    </row>
    <row r="484" spans="1:35" x14ac:dyDescent="0.25">
      <c r="A484" s="36">
        <v>477</v>
      </c>
      <c r="B484" s="37" t="s">
        <v>4106</v>
      </c>
      <c r="C484" s="38" t="s">
        <v>4107</v>
      </c>
      <c r="D484" s="39">
        <v>35288</v>
      </c>
      <c r="E484" s="38" t="s">
        <v>95</v>
      </c>
      <c r="F484" s="38" t="s">
        <v>48</v>
      </c>
      <c r="G484" s="38" t="s">
        <v>4108</v>
      </c>
      <c r="H484" s="38" t="s">
        <v>72</v>
      </c>
      <c r="I484" s="38" t="s">
        <v>114</v>
      </c>
      <c r="J484" s="41" t="s">
        <v>4109</v>
      </c>
      <c r="K484" s="41" t="s">
        <v>4110</v>
      </c>
      <c r="L484" s="41" t="s">
        <v>4111</v>
      </c>
      <c r="M484" s="38" t="s">
        <v>99</v>
      </c>
      <c r="N484" s="43" t="s">
        <v>4112</v>
      </c>
      <c r="O484" s="43" t="s">
        <v>147</v>
      </c>
      <c r="P484" s="41" t="s">
        <v>4113</v>
      </c>
      <c r="Q484" s="41" t="s">
        <v>4114</v>
      </c>
      <c r="R484" s="50" t="s">
        <v>4115</v>
      </c>
      <c r="S484" s="38" t="s">
        <v>4116</v>
      </c>
      <c r="T484" s="38" t="s">
        <v>613</v>
      </c>
      <c r="U484" s="38">
        <v>81913800631</v>
      </c>
      <c r="V484" s="52">
        <v>43710</v>
      </c>
      <c r="W484" s="41" t="s">
        <v>4117</v>
      </c>
      <c r="X484" s="38">
        <v>1450</v>
      </c>
      <c r="Y484" s="38" t="s">
        <v>52</v>
      </c>
      <c r="Z484" s="38" t="s">
        <v>172</v>
      </c>
      <c r="AA484" s="38" t="s">
        <v>125</v>
      </c>
      <c r="AB484" s="38" t="s">
        <v>2164</v>
      </c>
      <c r="AC484" s="45"/>
      <c r="AD484" s="7"/>
      <c r="AE484" s="7"/>
      <c r="AF484" s="46"/>
      <c r="AG484" s="47"/>
      <c r="AH484" s="46"/>
      <c r="AI484" s="46"/>
    </row>
    <row r="485" spans="1:35" x14ac:dyDescent="0.25">
      <c r="A485" s="36">
        <v>478</v>
      </c>
      <c r="B485" s="98" t="s">
        <v>4118</v>
      </c>
      <c r="C485" s="99" t="s">
        <v>1346</v>
      </c>
      <c r="D485" s="88">
        <v>35905</v>
      </c>
      <c r="E485" s="99" t="s">
        <v>40</v>
      </c>
      <c r="F485" s="89" t="s">
        <v>48</v>
      </c>
      <c r="G485" s="99" t="s">
        <v>4119</v>
      </c>
      <c r="H485" s="99" t="s">
        <v>113</v>
      </c>
      <c r="I485" s="38" t="s">
        <v>114</v>
      </c>
      <c r="J485" s="89" t="s">
        <v>4120</v>
      </c>
      <c r="K485" s="89" t="s">
        <v>4121</v>
      </c>
      <c r="L485" s="89"/>
      <c r="M485" s="38" t="s">
        <v>99</v>
      </c>
      <c r="N485" s="43" t="s">
        <v>4122</v>
      </c>
      <c r="O485" s="43" t="s">
        <v>76</v>
      </c>
      <c r="P485" s="89" t="s">
        <v>4123</v>
      </c>
      <c r="Q485" s="89" t="s">
        <v>4124</v>
      </c>
      <c r="R485" s="50" t="s">
        <v>4125</v>
      </c>
      <c r="S485" s="99" t="s">
        <v>4126</v>
      </c>
      <c r="T485" s="99" t="s">
        <v>613</v>
      </c>
      <c r="U485" s="89" t="s">
        <v>4127</v>
      </c>
      <c r="V485" s="60">
        <v>43710</v>
      </c>
      <c r="W485" s="49" t="s">
        <v>4128</v>
      </c>
      <c r="X485" s="99">
        <v>1449</v>
      </c>
      <c r="Y485" s="38" t="s">
        <v>52</v>
      </c>
      <c r="Z485" s="99" t="s">
        <v>396</v>
      </c>
      <c r="AA485" s="38" t="s">
        <v>397</v>
      </c>
      <c r="AB485" s="38" t="s">
        <v>55</v>
      </c>
      <c r="AC485" s="100"/>
      <c r="AD485" s="7"/>
      <c r="AE485" s="7"/>
      <c r="AF485" s="46" t="str">
        <f>IF(R485="","",RIGHT(R485,LEN(R485)-FIND("@",R485)))</f>
        <v>gmail.com</v>
      </c>
      <c r="AG485" s="47">
        <f>LEN(R485)-LEN(SUBSTITUTE(R485," ",""))</f>
        <v>0</v>
      </c>
      <c r="AH485" s="46" t="str">
        <f>SUBSTITUTE(R485," ","")</f>
        <v>fadilfanzuri@gmail.com</v>
      </c>
      <c r="AI485" s="46">
        <f>LEN(AH485)-LEN(SUBSTITUTE(AH485," ",""))</f>
        <v>0</v>
      </c>
    </row>
    <row r="486" spans="1:35" x14ac:dyDescent="0.25">
      <c r="A486" s="36">
        <v>479</v>
      </c>
      <c r="B486" s="101" t="s">
        <v>4129</v>
      </c>
      <c r="C486" s="102" t="s">
        <v>94</v>
      </c>
      <c r="D486" s="72">
        <v>34756</v>
      </c>
      <c r="E486" s="102" t="s">
        <v>95</v>
      </c>
      <c r="F486" s="101"/>
      <c r="G486" s="102" t="s">
        <v>4130</v>
      </c>
      <c r="H486" s="102"/>
      <c r="I486" s="102"/>
      <c r="J486" s="102" t="s">
        <v>4131</v>
      </c>
      <c r="K486" s="102"/>
      <c r="L486" s="102"/>
      <c r="M486" s="54" t="s">
        <v>99</v>
      </c>
      <c r="N486" s="102"/>
      <c r="O486" s="102"/>
      <c r="P486" s="102"/>
      <c r="Q486" s="102" t="s">
        <v>4132</v>
      </c>
      <c r="R486" s="57" t="s">
        <v>74</v>
      </c>
      <c r="S486" s="102" t="s">
        <v>950</v>
      </c>
      <c r="T486" s="102"/>
      <c r="U486" s="102" t="s">
        <v>4133</v>
      </c>
      <c r="V486" s="72">
        <v>43710</v>
      </c>
      <c r="W486" s="102"/>
      <c r="X486" s="102"/>
      <c r="Y486" s="102" t="s">
        <v>85</v>
      </c>
      <c r="Z486" s="102" t="s">
        <v>172</v>
      </c>
      <c r="AA486" s="54" t="s">
        <v>82</v>
      </c>
      <c r="AB486" s="54" t="s">
        <v>55</v>
      </c>
      <c r="AC486" s="103">
        <v>43921</v>
      </c>
      <c r="AD486" s="7"/>
      <c r="AE486" s="7"/>
      <c r="AF486" s="46"/>
      <c r="AG486" s="47"/>
      <c r="AH486" s="46"/>
      <c r="AI486" s="46"/>
    </row>
    <row r="487" spans="1:35" x14ac:dyDescent="0.25">
      <c r="A487" s="36">
        <v>480</v>
      </c>
      <c r="B487" s="101" t="s">
        <v>4134</v>
      </c>
      <c r="C487" s="102"/>
      <c r="D487" s="72"/>
      <c r="E487" s="102" t="s">
        <v>40</v>
      </c>
      <c r="F487" s="102"/>
      <c r="G487" s="102"/>
      <c r="H487" s="102"/>
      <c r="I487" s="102"/>
      <c r="J487" s="90"/>
      <c r="K487" s="90"/>
      <c r="L487" s="70"/>
      <c r="M487" s="102" t="s">
        <v>99</v>
      </c>
      <c r="N487" s="90"/>
      <c r="O487" s="90"/>
      <c r="P487" s="90"/>
      <c r="Q487" s="90"/>
      <c r="R487" s="57" t="s">
        <v>74</v>
      </c>
      <c r="S487" s="102"/>
      <c r="T487" s="102"/>
      <c r="U487" s="102"/>
      <c r="V487" s="72">
        <v>43713</v>
      </c>
      <c r="W487" s="70" t="s">
        <v>4135</v>
      </c>
      <c r="X487" s="102">
        <v>1453</v>
      </c>
      <c r="Y487" s="102" t="s">
        <v>85</v>
      </c>
      <c r="Z487" s="102" t="s">
        <v>1816</v>
      </c>
      <c r="AA487" s="54" t="s">
        <v>777</v>
      </c>
      <c r="AB487" s="54" t="s">
        <v>4136</v>
      </c>
      <c r="AC487" s="103">
        <v>43890</v>
      </c>
      <c r="AD487" s="7"/>
      <c r="AE487" s="77"/>
      <c r="AF487" s="86"/>
      <c r="AG487" s="87"/>
      <c r="AH487" s="86"/>
      <c r="AI487" s="86"/>
    </row>
    <row r="488" spans="1:35" x14ac:dyDescent="0.25">
      <c r="A488" s="36">
        <v>481</v>
      </c>
      <c r="B488" s="101" t="s">
        <v>4137</v>
      </c>
      <c r="C488" s="102" t="s">
        <v>4138</v>
      </c>
      <c r="D488" s="72">
        <v>36626</v>
      </c>
      <c r="E488" s="102" t="s">
        <v>40</v>
      </c>
      <c r="F488" s="101"/>
      <c r="G488" s="102" t="s">
        <v>4138</v>
      </c>
      <c r="H488" s="102"/>
      <c r="I488" s="102"/>
      <c r="J488" s="102" t="s">
        <v>4139</v>
      </c>
      <c r="K488" s="102"/>
      <c r="L488" s="102"/>
      <c r="M488" s="102"/>
      <c r="N488" s="102"/>
      <c r="O488" s="102"/>
      <c r="P488" s="102"/>
      <c r="Q488" s="102" t="s">
        <v>4140</v>
      </c>
      <c r="R488" s="57" t="s">
        <v>74</v>
      </c>
      <c r="S488" s="102" t="s">
        <v>4138</v>
      </c>
      <c r="T488" s="102"/>
      <c r="U488" s="102" t="s">
        <v>4141</v>
      </c>
      <c r="V488" s="72">
        <v>43713</v>
      </c>
      <c r="W488" s="102"/>
      <c r="X488" s="102"/>
      <c r="Y488" s="102" t="s">
        <v>85</v>
      </c>
      <c r="Z488" s="102" t="s">
        <v>1816</v>
      </c>
      <c r="AA488" s="54" t="s">
        <v>777</v>
      </c>
      <c r="AB488" s="54" t="s">
        <v>4136</v>
      </c>
      <c r="AC488" s="103">
        <v>43831</v>
      </c>
      <c r="AD488" s="7"/>
      <c r="AE488" s="46"/>
      <c r="AF488" s="46"/>
      <c r="AG488" s="47"/>
      <c r="AH488" s="46"/>
      <c r="AI488" s="46"/>
    </row>
    <row r="489" spans="1:35" x14ac:dyDescent="0.25">
      <c r="A489" s="48">
        <v>482</v>
      </c>
      <c r="B489" s="98" t="s">
        <v>4142</v>
      </c>
      <c r="C489" s="99" t="s">
        <v>4143</v>
      </c>
      <c r="D489" s="88">
        <v>35556</v>
      </c>
      <c r="E489" s="99" t="s">
        <v>95</v>
      </c>
      <c r="F489" s="89" t="s">
        <v>48</v>
      </c>
      <c r="G489" s="99" t="s">
        <v>4144</v>
      </c>
      <c r="H489" s="99" t="s">
        <v>72</v>
      </c>
      <c r="I489" s="38" t="s">
        <v>114</v>
      </c>
      <c r="J489" s="63" t="s">
        <v>4145</v>
      </c>
      <c r="K489" s="49" t="s">
        <v>4146</v>
      </c>
      <c r="L489" s="63"/>
      <c r="M489" s="38" t="s">
        <v>99</v>
      </c>
      <c r="N489" s="43" t="s">
        <v>4147</v>
      </c>
      <c r="O489" s="43" t="s">
        <v>76</v>
      </c>
      <c r="P489" s="49" t="s">
        <v>4148</v>
      </c>
      <c r="Q489" s="63" t="s">
        <v>4149</v>
      </c>
      <c r="R489" s="50" t="s">
        <v>4150</v>
      </c>
      <c r="S489" s="99" t="s">
        <v>4151</v>
      </c>
      <c r="T489" s="99" t="s">
        <v>313</v>
      </c>
      <c r="U489" s="99" t="s">
        <v>4152</v>
      </c>
      <c r="V489" s="60">
        <v>43714</v>
      </c>
      <c r="W489" s="49" t="s">
        <v>4153</v>
      </c>
      <c r="X489" s="99">
        <v>1451</v>
      </c>
      <c r="Y489" s="99" t="s">
        <v>52</v>
      </c>
      <c r="Z489" s="38" t="s">
        <v>172</v>
      </c>
      <c r="AA489" s="38" t="s">
        <v>125</v>
      </c>
      <c r="AB489" s="38" t="s">
        <v>157</v>
      </c>
      <c r="AC489" s="100"/>
      <c r="AD489" s="7"/>
      <c r="AE489" s="7"/>
      <c r="AF489" s="46" t="str">
        <f>IF(R489="","",RIGHT(R489,LEN(R489)-FIND("@",R489)))</f>
        <v>gmail.com</v>
      </c>
      <c r="AG489" s="47">
        <f>LEN(R489)-LEN(SUBSTITUTE(R489," ",""))</f>
        <v>0</v>
      </c>
      <c r="AH489" s="46" t="str">
        <f>SUBSTITUTE(R489," ","")</f>
        <v>tinaambarawati44@gmail.com</v>
      </c>
      <c r="AI489" s="46">
        <f>LEN(AH489)-LEN(SUBSTITUTE(AH489," ",""))</f>
        <v>0</v>
      </c>
    </row>
    <row r="490" spans="1:35" x14ac:dyDescent="0.25">
      <c r="A490" s="36">
        <v>483</v>
      </c>
      <c r="B490" s="98" t="s">
        <v>4154</v>
      </c>
      <c r="C490" s="99" t="s">
        <v>94</v>
      </c>
      <c r="D490" s="88">
        <v>36783</v>
      </c>
      <c r="E490" s="99" t="s">
        <v>40</v>
      </c>
      <c r="F490" s="99" t="s">
        <v>129</v>
      </c>
      <c r="G490" s="99" t="s">
        <v>4155</v>
      </c>
      <c r="H490" s="38" t="s">
        <v>113</v>
      </c>
      <c r="I490" s="38" t="s">
        <v>114</v>
      </c>
      <c r="J490" s="49" t="s">
        <v>4156</v>
      </c>
      <c r="K490" s="49" t="s">
        <v>4157</v>
      </c>
      <c r="L490" s="49"/>
      <c r="M490" s="38" t="s">
        <v>99</v>
      </c>
      <c r="N490" s="49" t="s">
        <v>4158</v>
      </c>
      <c r="O490" s="49" t="s">
        <v>147</v>
      </c>
      <c r="P490" s="49" t="s">
        <v>4159</v>
      </c>
      <c r="Q490" s="49" t="s">
        <v>4160</v>
      </c>
      <c r="R490" s="50" t="s">
        <v>4161</v>
      </c>
      <c r="S490" s="38" t="s">
        <v>4162</v>
      </c>
      <c r="T490" s="99" t="s">
        <v>4163</v>
      </c>
      <c r="U490" s="99"/>
      <c r="V490" s="60">
        <v>43717</v>
      </c>
      <c r="W490" s="49" t="s">
        <v>4164</v>
      </c>
      <c r="X490" s="99">
        <v>1454</v>
      </c>
      <c r="Y490" s="99" t="s">
        <v>52</v>
      </c>
      <c r="Z490" s="38" t="s">
        <v>396</v>
      </c>
      <c r="AA490" s="38" t="s">
        <v>227</v>
      </c>
      <c r="AB490" s="38" t="s">
        <v>55</v>
      </c>
      <c r="AC490" s="100"/>
      <c r="AD490" s="7"/>
      <c r="AE490" s="7"/>
      <c r="AF490" s="46"/>
      <c r="AG490" s="47"/>
      <c r="AH490" s="46"/>
      <c r="AI490" s="46"/>
    </row>
    <row r="491" spans="1:35" x14ac:dyDescent="0.25">
      <c r="A491" s="36">
        <v>484</v>
      </c>
      <c r="B491" s="98" t="s">
        <v>4165</v>
      </c>
      <c r="C491" s="99" t="s">
        <v>94</v>
      </c>
      <c r="D491" s="88">
        <v>35499</v>
      </c>
      <c r="E491" s="99" t="s">
        <v>40</v>
      </c>
      <c r="F491" s="99" t="s">
        <v>129</v>
      </c>
      <c r="G491" s="99" t="s">
        <v>4166</v>
      </c>
      <c r="H491" s="99" t="s">
        <v>72</v>
      </c>
      <c r="I491" s="38" t="s">
        <v>114</v>
      </c>
      <c r="J491" s="49" t="s">
        <v>4167</v>
      </c>
      <c r="K491" s="49" t="s">
        <v>4168</v>
      </c>
      <c r="L491" s="49"/>
      <c r="M491" s="38" t="s">
        <v>99</v>
      </c>
      <c r="N491" s="43" t="s">
        <v>4169</v>
      </c>
      <c r="O491" s="43" t="s">
        <v>76</v>
      </c>
      <c r="P491" s="49" t="s">
        <v>4170</v>
      </c>
      <c r="Q491" s="49" t="s">
        <v>4171</v>
      </c>
      <c r="R491" s="50" t="s">
        <v>4172</v>
      </c>
      <c r="S491" s="99" t="s">
        <v>4173</v>
      </c>
      <c r="T491" s="99" t="s">
        <v>4174</v>
      </c>
      <c r="U491" s="99" t="s">
        <v>4175</v>
      </c>
      <c r="V491" s="60">
        <v>43717</v>
      </c>
      <c r="W491" s="49" t="s">
        <v>4176</v>
      </c>
      <c r="X491" s="99">
        <v>1455</v>
      </c>
      <c r="Y491" s="99" t="s">
        <v>52</v>
      </c>
      <c r="Z491" s="38" t="s">
        <v>226</v>
      </c>
      <c r="AA491" s="38" t="s">
        <v>125</v>
      </c>
      <c r="AB491" s="38" t="s">
        <v>140</v>
      </c>
      <c r="AC491" s="100"/>
      <c r="AD491" s="7"/>
      <c r="AE491" s="7"/>
      <c r="AF491" s="46" t="str">
        <f>IF(R491="","",RIGHT(R491,LEN(R491)-FIND("@",R491)))</f>
        <v>gmail.com</v>
      </c>
      <c r="AG491" s="47">
        <f>LEN(R491)-LEN(SUBSTITUTE(R491," ",""))</f>
        <v>0</v>
      </c>
      <c r="AH491" s="46" t="str">
        <f>SUBSTITUTE(R491," ","")</f>
        <v>gungkrisna10@gmail.com</v>
      </c>
      <c r="AI491" s="46">
        <f>LEN(AH491)-LEN(SUBSTITUTE(AH491," ",""))</f>
        <v>0</v>
      </c>
    </row>
    <row r="492" spans="1:35" x14ac:dyDescent="0.25">
      <c r="A492" s="36">
        <v>485</v>
      </c>
      <c r="B492" s="98" t="s">
        <v>4177</v>
      </c>
      <c r="C492" s="99" t="s">
        <v>4178</v>
      </c>
      <c r="D492" s="88">
        <v>35646</v>
      </c>
      <c r="E492" s="99" t="s">
        <v>40</v>
      </c>
      <c r="F492" s="99" t="s">
        <v>48</v>
      </c>
      <c r="G492" s="99" t="s">
        <v>4179</v>
      </c>
      <c r="H492" s="99" t="s">
        <v>113</v>
      </c>
      <c r="I492" s="38" t="s">
        <v>114</v>
      </c>
      <c r="J492" s="99" t="s">
        <v>4180</v>
      </c>
      <c r="K492" s="99" t="s">
        <v>4181</v>
      </c>
      <c r="L492" s="42" t="s">
        <v>4182</v>
      </c>
      <c r="M492" s="38" t="s">
        <v>99</v>
      </c>
      <c r="N492" s="43" t="s">
        <v>4183</v>
      </c>
      <c r="O492" s="43" t="s">
        <v>428</v>
      </c>
      <c r="P492" s="41" t="s">
        <v>672</v>
      </c>
      <c r="Q492" s="99" t="s">
        <v>4184</v>
      </c>
      <c r="R492" s="50" t="s">
        <v>4185</v>
      </c>
      <c r="S492" s="104" t="s">
        <v>4186</v>
      </c>
      <c r="T492" s="99" t="s">
        <v>65</v>
      </c>
      <c r="U492" s="99" t="s">
        <v>4187</v>
      </c>
      <c r="V492" s="60">
        <v>43717</v>
      </c>
      <c r="W492" s="49" t="s">
        <v>4188</v>
      </c>
      <c r="X492" s="99">
        <v>1456</v>
      </c>
      <c r="Y492" s="99" t="s">
        <v>52</v>
      </c>
      <c r="Z492" s="38" t="s">
        <v>396</v>
      </c>
      <c r="AA492" s="38" t="s">
        <v>3569</v>
      </c>
      <c r="AB492" s="38" t="s">
        <v>55</v>
      </c>
      <c r="AC492" s="100"/>
      <c r="AD492" s="7"/>
      <c r="AE492" s="7"/>
      <c r="AF492" s="46" t="str">
        <f>IF(R492="","",RIGHT(R492,LEN(R492)-FIND("@",R492)))</f>
        <v>gmail.com</v>
      </c>
      <c r="AG492" s="47">
        <f>LEN(R492)-LEN(SUBSTITUTE(R492," ",""))</f>
        <v>0</v>
      </c>
      <c r="AH492" s="46" t="str">
        <f>SUBSTITUTE(R492," ","")</f>
        <v>dhenozi04@gmail.com</v>
      </c>
      <c r="AI492" s="46">
        <f>LEN(AH492)-LEN(SUBSTITUTE(AH492," ",""))</f>
        <v>0</v>
      </c>
    </row>
    <row r="493" spans="1:35" x14ac:dyDescent="0.25">
      <c r="A493" s="36">
        <v>486</v>
      </c>
      <c r="B493" s="101" t="s">
        <v>4189</v>
      </c>
      <c r="C493" s="102" t="s">
        <v>4190</v>
      </c>
      <c r="D493" s="72">
        <v>34101</v>
      </c>
      <c r="E493" s="102" t="s">
        <v>40</v>
      </c>
      <c r="F493" s="101"/>
      <c r="G493" s="102" t="s">
        <v>4191</v>
      </c>
      <c r="H493" s="102"/>
      <c r="I493" s="102"/>
      <c r="J493" s="102" t="s">
        <v>4192</v>
      </c>
      <c r="K493" s="102"/>
      <c r="L493" s="102"/>
      <c r="M493" s="102"/>
      <c r="N493" s="102"/>
      <c r="O493" s="102"/>
      <c r="P493" s="102"/>
      <c r="Q493" s="102" t="s">
        <v>4193</v>
      </c>
      <c r="R493" s="57" t="s">
        <v>74</v>
      </c>
      <c r="S493" s="102" t="s">
        <v>4194</v>
      </c>
      <c r="T493" s="102"/>
      <c r="U493" s="102" t="s">
        <v>4195</v>
      </c>
      <c r="V493" s="72">
        <v>43720</v>
      </c>
      <c r="W493" s="102"/>
      <c r="X493" s="102"/>
      <c r="Y493" s="102" t="s">
        <v>85</v>
      </c>
      <c r="Z493" s="102" t="s">
        <v>156</v>
      </c>
      <c r="AA493" s="54"/>
      <c r="AB493" s="54" t="s">
        <v>282</v>
      </c>
      <c r="AC493" s="103">
        <v>43758</v>
      </c>
      <c r="AD493" s="7"/>
      <c r="AE493" s="46"/>
      <c r="AF493" s="46"/>
      <c r="AG493" s="47"/>
      <c r="AH493" s="46"/>
      <c r="AI493" s="46"/>
    </row>
    <row r="494" spans="1:35" x14ac:dyDescent="0.25">
      <c r="A494" s="36">
        <v>487</v>
      </c>
      <c r="B494" s="98" t="s">
        <v>4196</v>
      </c>
      <c r="C494" s="99" t="s">
        <v>3462</v>
      </c>
      <c r="D494" s="88">
        <v>36229</v>
      </c>
      <c r="E494" s="99" t="s">
        <v>95</v>
      </c>
      <c r="F494" s="89" t="s">
        <v>48</v>
      </c>
      <c r="G494" s="99" t="s">
        <v>4197</v>
      </c>
      <c r="H494" s="99" t="s">
        <v>113</v>
      </c>
      <c r="I494" s="38" t="s">
        <v>114</v>
      </c>
      <c r="J494" s="49" t="s">
        <v>4198</v>
      </c>
      <c r="K494" s="49" t="s">
        <v>4199</v>
      </c>
      <c r="L494" s="63"/>
      <c r="M494" s="38" t="s">
        <v>99</v>
      </c>
      <c r="N494" s="43" t="s">
        <v>4200</v>
      </c>
      <c r="O494" s="43" t="s">
        <v>76</v>
      </c>
      <c r="P494" s="41" t="s">
        <v>4201</v>
      </c>
      <c r="Q494" s="63" t="s">
        <v>4202</v>
      </c>
      <c r="R494" s="50" t="s">
        <v>4203</v>
      </c>
      <c r="S494" s="99" t="s">
        <v>4204</v>
      </c>
      <c r="T494" s="99" t="s">
        <v>753</v>
      </c>
      <c r="U494" s="89" t="s">
        <v>4205</v>
      </c>
      <c r="V494" s="60">
        <v>43724</v>
      </c>
      <c r="W494" s="49" t="s">
        <v>4206</v>
      </c>
      <c r="X494" s="99">
        <v>1460</v>
      </c>
      <c r="Y494" s="38" t="s">
        <v>52</v>
      </c>
      <c r="Z494" s="38" t="s">
        <v>172</v>
      </c>
      <c r="AA494" s="38" t="s">
        <v>125</v>
      </c>
      <c r="AB494" s="38" t="s">
        <v>341</v>
      </c>
      <c r="AC494" s="100"/>
      <c r="AD494" s="7"/>
      <c r="AE494" s="7"/>
      <c r="AF494" s="46" t="str">
        <f>IF(R494="","",RIGHT(R494,LEN(R494)-FIND("@",R494)))</f>
        <v>gmail.com</v>
      </c>
      <c r="AG494" s="47">
        <f>LEN(R494)-LEN(SUBSTITUTE(R494," ",""))</f>
        <v>0</v>
      </c>
      <c r="AH494" s="46" t="str">
        <f>SUBSTITUTE(R494," ","")</f>
        <v>Elyindriputri@gmail.com</v>
      </c>
      <c r="AI494" s="46">
        <f>LEN(AH494)-LEN(SUBSTITUTE(AH494," ",""))</f>
        <v>0</v>
      </c>
    </row>
    <row r="495" spans="1:35" x14ac:dyDescent="0.25">
      <c r="A495" s="48">
        <v>488</v>
      </c>
      <c r="B495" s="101" t="s">
        <v>4207</v>
      </c>
      <c r="C495" s="102" t="s">
        <v>94</v>
      </c>
      <c r="D495" s="72">
        <v>34971</v>
      </c>
      <c r="E495" s="102" t="s">
        <v>40</v>
      </c>
      <c r="F495" s="101"/>
      <c r="G495" s="102" t="s">
        <v>4208</v>
      </c>
      <c r="H495" s="102"/>
      <c r="I495" s="102"/>
      <c r="J495" s="102" t="s">
        <v>4209</v>
      </c>
      <c r="K495" s="102"/>
      <c r="L495" s="102"/>
      <c r="M495" s="102"/>
      <c r="N495" s="102"/>
      <c r="O495" s="102"/>
      <c r="P495" s="102"/>
      <c r="Q495" s="102" t="s">
        <v>4210</v>
      </c>
      <c r="R495" s="57" t="s">
        <v>74</v>
      </c>
      <c r="S495" s="102" t="s">
        <v>4211</v>
      </c>
      <c r="T495" s="102"/>
      <c r="U495" s="102" t="s">
        <v>4212</v>
      </c>
      <c r="V495" s="72">
        <v>43724</v>
      </c>
      <c r="W495" s="102"/>
      <c r="X495" s="102"/>
      <c r="Y495" s="102" t="s">
        <v>85</v>
      </c>
      <c r="Z495" s="102" t="s">
        <v>396</v>
      </c>
      <c r="AA495" s="54" t="s">
        <v>4015</v>
      </c>
      <c r="AB495" s="54" t="s">
        <v>500</v>
      </c>
      <c r="AC495" s="103">
        <v>43747</v>
      </c>
      <c r="AD495" s="7"/>
      <c r="AE495" s="46"/>
      <c r="AF495" s="46"/>
      <c r="AG495" s="47"/>
      <c r="AH495" s="46"/>
      <c r="AI495" s="46"/>
    </row>
    <row r="496" spans="1:35" x14ac:dyDescent="0.25">
      <c r="A496" s="36">
        <v>489</v>
      </c>
      <c r="B496" s="98" t="s">
        <v>4213</v>
      </c>
      <c r="C496" s="99" t="s">
        <v>1377</v>
      </c>
      <c r="D496" s="88">
        <v>28616</v>
      </c>
      <c r="E496" s="99" t="s">
        <v>40</v>
      </c>
      <c r="F496" s="99" t="s">
        <v>129</v>
      </c>
      <c r="G496" s="99" t="s">
        <v>4214</v>
      </c>
      <c r="H496" s="38" t="s">
        <v>72</v>
      </c>
      <c r="I496" s="99" t="s">
        <v>44</v>
      </c>
      <c r="J496" s="49" t="s">
        <v>4215</v>
      </c>
      <c r="K496" s="49" t="s">
        <v>4216</v>
      </c>
      <c r="L496" s="49" t="s">
        <v>4217</v>
      </c>
      <c r="M496" s="99" t="s">
        <v>47</v>
      </c>
      <c r="N496" s="43" t="s">
        <v>4218</v>
      </c>
      <c r="O496" s="43" t="s">
        <v>76</v>
      </c>
      <c r="P496" s="49" t="s">
        <v>4219</v>
      </c>
      <c r="Q496" s="49" t="s">
        <v>4220</v>
      </c>
      <c r="R496" s="50" t="s">
        <v>4221</v>
      </c>
      <c r="S496" s="99" t="s">
        <v>4222</v>
      </c>
      <c r="T496" s="99" t="s">
        <v>4223</v>
      </c>
      <c r="U496" s="99">
        <v>8123613868</v>
      </c>
      <c r="V496" s="60">
        <v>43725</v>
      </c>
      <c r="W496" s="49" t="s">
        <v>4224</v>
      </c>
      <c r="X496" s="99">
        <v>1459</v>
      </c>
      <c r="Y496" s="38" t="s">
        <v>52</v>
      </c>
      <c r="Z496" s="38" t="s">
        <v>108</v>
      </c>
      <c r="AA496" s="38" t="s">
        <v>227</v>
      </c>
      <c r="AB496" s="38" t="s">
        <v>55</v>
      </c>
      <c r="AC496" s="100"/>
      <c r="AD496" s="7"/>
      <c r="AE496" s="7"/>
      <c r="AF496" s="46"/>
      <c r="AG496" s="47"/>
      <c r="AH496" s="46"/>
      <c r="AI496" s="46"/>
    </row>
    <row r="497" spans="1:35" x14ac:dyDescent="0.25">
      <c r="A497" s="36">
        <v>490</v>
      </c>
      <c r="B497" s="98" t="s">
        <v>4225</v>
      </c>
      <c r="C497" s="99" t="s">
        <v>94</v>
      </c>
      <c r="D497" s="88">
        <v>34996</v>
      </c>
      <c r="E497" s="99" t="s">
        <v>95</v>
      </c>
      <c r="F497" s="99" t="s">
        <v>48</v>
      </c>
      <c r="G497" s="99" t="s">
        <v>4226</v>
      </c>
      <c r="H497" s="99" t="s">
        <v>113</v>
      </c>
      <c r="I497" s="38" t="s">
        <v>114</v>
      </c>
      <c r="J497" s="49" t="s">
        <v>4227</v>
      </c>
      <c r="K497" s="49" t="s">
        <v>4228</v>
      </c>
      <c r="L497" s="63"/>
      <c r="M497" s="38" t="s">
        <v>99</v>
      </c>
      <c r="N497" s="43" t="s">
        <v>48</v>
      </c>
      <c r="O497" s="43"/>
      <c r="P497" s="63" t="s">
        <v>4229</v>
      </c>
      <c r="Q497" s="49" t="s">
        <v>4230</v>
      </c>
      <c r="R497" s="50" t="s">
        <v>4231</v>
      </c>
      <c r="S497" s="99" t="s">
        <v>4232</v>
      </c>
      <c r="T497" s="99" t="s">
        <v>4233</v>
      </c>
      <c r="U497" s="99" t="s">
        <v>4234</v>
      </c>
      <c r="V497" s="60">
        <v>43728</v>
      </c>
      <c r="W497" s="49" t="s">
        <v>4235</v>
      </c>
      <c r="X497" s="99">
        <v>1463</v>
      </c>
      <c r="Y497" s="38" t="s">
        <v>52</v>
      </c>
      <c r="Z497" s="38" t="s">
        <v>396</v>
      </c>
      <c r="AA497" s="38" t="s">
        <v>109</v>
      </c>
      <c r="AB497" s="38" t="s">
        <v>55</v>
      </c>
      <c r="AC497" s="100"/>
      <c r="AD497" s="7"/>
      <c r="AE497" s="7"/>
      <c r="AF497" s="46" t="str">
        <f>IF(R497="","",RIGHT(R497,LEN(R497)-FIND("@",R497)))</f>
        <v>gmail.com</v>
      </c>
      <c r="AG497" s="47">
        <f>LEN(R497)-LEN(SUBSTITUTE(R497," ",""))</f>
        <v>0</v>
      </c>
      <c r="AH497" s="46" t="str">
        <f>SUBSTITUTE(R497," ","")</f>
        <v>sarafina.ap@gmail.com</v>
      </c>
      <c r="AI497" s="46">
        <f>LEN(AH497)-LEN(SUBSTITUTE(AH497," ",""))</f>
        <v>0</v>
      </c>
    </row>
    <row r="498" spans="1:35" x14ac:dyDescent="0.25">
      <c r="A498" s="36">
        <v>491</v>
      </c>
      <c r="B498" s="98" t="s">
        <v>4236</v>
      </c>
      <c r="C498" s="99" t="s">
        <v>4237</v>
      </c>
      <c r="D498" s="88">
        <v>35261</v>
      </c>
      <c r="E498" s="99" t="s">
        <v>95</v>
      </c>
      <c r="F498" s="99" t="s">
        <v>4238</v>
      </c>
      <c r="G498" s="99" t="s">
        <v>4239</v>
      </c>
      <c r="H498" s="99" t="s">
        <v>113</v>
      </c>
      <c r="I498" s="38" t="s">
        <v>114</v>
      </c>
      <c r="J498" s="49" t="s">
        <v>4240</v>
      </c>
      <c r="K498" s="49" t="s">
        <v>4241</v>
      </c>
      <c r="L498" s="49"/>
      <c r="M498" s="38" t="s">
        <v>99</v>
      </c>
      <c r="N498" s="43" t="s">
        <v>4242</v>
      </c>
      <c r="O498" s="43" t="s">
        <v>147</v>
      </c>
      <c r="P498" s="49" t="s">
        <v>4243</v>
      </c>
      <c r="Q498" s="63" t="s">
        <v>4244</v>
      </c>
      <c r="R498" s="50" t="s">
        <v>4245</v>
      </c>
      <c r="S498" s="38" t="s">
        <v>4246</v>
      </c>
      <c r="T498" s="99"/>
      <c r="U498" s="99"/>
      <c r="V498" s="60">
        <v>43731</v>
      </c>
      <c r="W498" s="49" t="s">
        <v>4247</v>
      </c>
      <c r="X498" s="99">
        <v>1461</v>
      </c>
      <c r="Y498" s="38" t="s">
        <v>52</v>
      </c>
      <c r="Z498" s="38" t="s">
        <v>226</v>
      </c>
      <c r="AA498" s="38" t="s">
        <v>125</v>
      </c>
      <c r="AB498" s="38" t="s">
        <v>3949</v>
      </c>
      <c r="AC498" s="100"/>
      <c r="AD498" s="7"/>
      <c r="AE498" s="7"/>
      <c r="AF498" s="46" t="str">
        <f>IF(R498="","",RIGHT(R498,LEN(R498)-FIND("@",R498)))</f>
        <v>gmail.com</v>
      </c>
      <c r="AG498" s="47">
        <f>LEN(R498)-LEN(SUBSTITUTE(R498," ",""))</f>
        <v>0</v>
      </c>
      <c r="AH498" s="46" t="str">
        <f>SUBSTITUTE(R498," ","")</f>
        <v>anovaangraeni@gmail.com</v>
      </c>
      <c r="AI498" s="46">
        <f>LEN(AH498)-LEN(SUBSTITUTE(AH498," ",""))</f>
        <v>0</v>
      </c>
    </row>
    <row r="499" spans="1:35" x14ac:dyDescent="0.25">
      <c r="A499" s="36">
        <v>492</v>
      </c>
      <c r="B499" s="98" t="s">
        <v>4248</v>
      </c>
      <c r="C499" s="99" t="s">
        <v>4249</v>
      </c>
      <c r="D499" s="88">
        <v>34437</v>
      </c>
      <c r="E499" s="99" t="s">
        <v>95</v>
      </c>
      <c r="F499" s="89" t="s">
        <v>48</v>
      </c>
      <c r="G499" s="99" t="s">
        <v>4250</v>
      </c>
      <c r="H499" s="99" t="s">
        <v>113</v>
      </c>
      <c r="I499" s="38" t="s">
        <v>114</v>
      </c>
      <c r="J499" s="49" t="s">
        <v>4251</v>
      </c>
      <c r="K499" s="49" t="s">
        <v>4252</v>
      </c>
      <c r="L499" s="49"/>
      <c r="M499" s="38" t="s">
        <v>99</v>
      </c>
      <c r="N499" s="43" t="s">
        <v>4253</v>
      </c>
      <c r="O499" s="43" t="s">
        <v>147</v>
      </c>
      <c r="P499" s="63" t="s">
        <v>3272</v>
      </c>
      <c r="Q499" s="49" t="s">
        <v>4254</v>
      </c>
      <c r="R499" s="50" t="s">
        <v>4255</v>
      </c>
      <c r="S499" s="99" t="s">
        <v>4256</v>
      </c>
      <c r="T499" s="99"/>
      <c r="U499" s="99"/>
      <c r="V499" s="60">
        <v>43731</v>
      </c>
      <c r="W499" s="49" t="s">
        <v>4257</v>
      </c>
      <c r="X499" s="99">
        <v>1462</v>
      </c>
      <c r="Y499" s="38" t="s">
        <v>52</v>
      </c>
      <c r="Z499" s="38" t="s">
        <v>226</v>
      </c>
      <c r="AA499" s="38" t="s">
        <v>125</v>
      </c>
      <c r="AB499" s="38" t="s">
        <v>126</v>
      </c>
      <c r="AC499" s="100"/>
      <c r="AD499" s="7"/>
      <c r="AE499" s="7"/>
      <c r="AF499" s="46" t="str">
        <f>IF(R499="","",RIGHT(R499,LEN(R499)-FIND("@",R499)))</f>
        <v>gmail.com</v>
      </c>
      <c r="AG499" s="47">
        <f>LEN(R499)-LEN(SUBSTITUTE(R499," ",""))</f>
        <v>0</v>
      </c>
      <c r="AH499" s="46" t="str">
        <f>SUBSTITUTE(R499," ","")</f>
        <v>inha.salminah11@gmail.com</v>
      </c>
      <c r="AI499" s="46">
        <f>LEN(AH499)-LEN(SUBSTITUTE(AH499," ",""))</f>
        <v>0</v>
      </c>
    </row>
    <row r="500" spans="1:35" x14ac:dyDescent="0.25">
      <c r="A500" s="36">
        <v>493</v>
      </c>
      <c r="B500" s="98" t="s">
        <v>4258</v>
      </c>
      <c r="C500" s="99" t="s">
        <v>370</v>
      </c>
      <c r="D500" s="88">
        <v>36548</v>
      </c>
      <c r="E500" s="99" t="s">
        <v>40</v>
      </c>
      <c r="F500" s="99" t="s">
        <v>48</v>
      </c>
      <c r="G500" s="99" t="s">
        <v>4259</v>
      </c>
      <c r="H500" s="99" t="s">
        <v>72</v>
      </c>
      <c r="I500" s="38" t="s">
        <v>114</v>
      </c>
      <c r="J500" s="49" t="s">
        <v>4260</v>
      </c>
      <c r="K500" s="49" t="s">
        <v>4261</v>
      </c>
      <c r="L500" s="49"/>
      <c r="M500" s="38" t="s">
        <v>99</v>
      </c>
      <c r="N500" s="43" t="s">
        <v>4262</v>
      </c>
      <c r="O500" s="43" t="s">
        <v>147</v>
      </c>
      <c r="P500" s="49" t="s">
        <v>4263</v>
      </c>
      <c r="Q500" s="49" t="s">
        <v>4264</v>
      </c>
      <c r="R500" s="50" t="s">
        <v>4265</v>
      </c>
      <c r="S500" s="99" t="s">
        <v>4266</v>
      </c>
      <c r="T500" s="99" t="s">
        <v>152</v>
      </c>
      <c r="U500" s="99" t="s">
        <v>4267</v>
      </c>
      <c r="V500" s="60">
        <v>43734</v>
      </c>
      <c r="W500" s="49" t="s">
        <v>4268</v>
      </c>
      <c r="X500" s="99">
        <v>1464</v>
      </c>
      <c r="Y500" s="38" t="s">
        <v>52</v>
      </c>
      <c r="Z500" s="99" t="s">
        <v>156</v>
      </c>
      <c r="AA500" s="38" t="s">
        <v>125</v>
      </c>
      <c r="AB500" s="38" t="s">
        <v>1570</v>
      </c>
      <c r="AC500" s="100"/>
      <c r="AD500" s="7"/>
      <c r="AE500" s="7"/>
      <c r="AF500" s="46" t="str">
        <f>IF(R500="","",RIGHT(R500,LEN(R500)-FIND("@",R500)))</f>
        <v>gmail.com</v>
      </c>
      <c r="AG500" s="47">
        <f>LEN(R500)-LEN(SUBSTITUTE(R500," ",""))</f>
        <v>0</v>
      </c>
      <c r="AH500" s="46" t="str">
        <f>SUBSTITUTE(R500," ","")</f>
        <v>bbid.darmayasa@gmail.com</v>
      </c>
      <c r="AI500" s="46">
        <f>LEN(AH500)-LEN(SUBSTITUTE(AH500," ",""))</f>
        <v>0</v>
      </c>
    </row>
    <row r="501" spans="1:35" x14ac:dyDescent="0.25">
      <c r="A501" s="48">
        <v>494</v>
      </c>
      <c r="B501" s="98" t="s">
        <v>4269</v>
      </c>
      <c r="C501" s="99" t="s">
        <v>418</v>
      </c>
      <c r="D501" s="88">
        <v>36637</v>
      </c>
      <c r="E501" s="99" t="s">
        <v>40</v>
      </c>
      <c r="F501" s="89" t="s">
        <v>48</v>
      </c>
      <c r="G501" s="99" t="s">
        <v>4270</v>
      </c>
      <c r="H501" s="99" t="s">
        <v>72</v>
      </c>
      <c r="I501" s="38" t="s">
        <v>114</v>
      </c>
      <c r="J501" s="49" t="s">
        <v>4271</v>
      </c>
      <c r="K501" s="49" t="s">
        <v>4272</v>
      </c>
      <c r="L501" s="63"/>
      <c r="M501" s="38" t="s">
        <v>99</v>
      </c>
      <c r="N501" s="43" t="s">
        <v>4273</v>
      </c>
      <c r="O501" s="43" t="s">
        <v>428</v>
      </c>
      <c r="P501" s="41" t="s">
        <v>4274</v>
      </c>
      <c r="Q501" s="63" t="s">
        <v>4275</v>
      </c>
      <c r="R501" s="50" t="s">
        <v>4276</v>
      </c>
      <c r="S501" s="99" t="s">
        <v>4277</v>
      </c>
      <c r="T501" s="99" t="s">
        <v>753</v>
      </c>
      <c r="U501" s="89" t="s">
        <v>754</v>
      </c>
      <c r="V501" s="60">
        <v>43738</v>
      </c>
      <c r="W501" s="49" t="s">
        <v>4278</v>
      </c>
      <c r="X501" s="99">
        <v>1465</v>
      </c>
      <c r="Y501" s="38" t="s">
        <v>52</v>
      </c>
      <c r="Z501" s="99" t="s">
        <v>156</v>
      </c>
      <c r="AA501" s="38" t="s">
        <v>125</v>
      </c>
      <c r="AB501" s="38" t="s">
        <v>140</v>
      </c>
      <c r="AC501" s="100"/>
      <c r="AD501" s="7"/>
      <c r="AE501" s="7"/>
      <c r="AF501" s="46" t="str">
        <f>IF(R501="","",RIGHT(R501,LEN(R501)-FIND("@",R501)))</f>
        <v>gmail.com</v>
      </c>
      <c r="AG501" s="47">
        <f>LEN(R501)-LEN(SUBSTITUTE(R501," ",""))</f>
        <v>0</v>
      </c>
      <c r="AH501" s="46" t="str">
        <f>SUBSTITUTE(R501," ","")</f>
        <v>dewaputrakatak@gmail.com</v>
      </c>
      <c r="AI501" s="46">
        <f>LEN(AH501)-LEN(SUBSTITUTE(AH501," ",""))</f>
        <v>0</v>
      </c>
    </row>
    <row r="502" spans="1:35" x14ac:dyDescent="0.25">
      <c r="A502" s="36">
        <v>495</v>
      </c>
      <c r="B502" s="101" t="s">
        <v>4279</v>
      </c>
      <c r="C502" s="102" t="s">
        <v>4280</v>
      </c>
      <c r="D502" s="72">
        <v>35565</v>
      </c>
      <c r="E502" s="102" t="s">
        <v>95</v>
      </c>
      <c r="F502" s="101"/>
      <c r="G502" s="102" t="s">
        <v>4281</v>
      </c>
      <c r="H502" s="102"/>
      <c r="I502" s="102"/>
      <c r="J502" s="102" t="s">
        <v>4282</v>
      </c>
      <c r="K502" s="102"/>
      <c r="L502" s="102"/>
      <c r="M502" s="54" t="s">
        <v>99</v>
      </c>
      <c r="N502" s="102"/>
      <c r="O502" s="102"/>
      <c r="P502" s="102"/>
      <c r="Q502" s="102" t="s">
        <v>4283</v>
      </c>
      <c r="R502" s="57" t="s">
        <v>74</v>
      </c>
      <c r="S502" s="102" t="s">
        <v>4284</v>
      </c>
      <c r="T502" s="102"/>
      <c r="U502" s="102" t="s">
        <v>4285</v>
      </c>
      <c r="V502" s="72">
        <v>43745</v>
      </c>
      <c r="W502" s="102"/>
      <c r="X502" s="102"/>
      <c r="Y502" s="102" t="s">
        <v>85</v>
      </c>
      <c r="Z502" s="102" t="s">
        <v>396</v>
      </c>
      <c r="AA502" s="54"/>
      <c r="AB502" s="54" t="s">
        <v>109</v>
      </c>
      <c r="AC502" s="103">
        <v>43770</v>
      </c>
      <c r="AD502" s="7"/>
      <c r="AE502" s="46"/>
      <c r="AF502" s="46"/>
      <c r="AG502" s="47"/>
      <c r="AH502" s="46"/>
      <c r="AI502" s="46"/>
    </row>
    <row r="503" spans="1:35" x14ac:dyDescent="0.25">
      <c r="A503" s="36">
        <v>496</v>
      </c>
      <c r="B503" s="98" t="s">
        <v>4286</v>
      </c>
      <c r="C503" s="99" t="s">
        <v>4287</v>
      </c>
      <c r="D503" s="88">
        <v>35979</v>
      </c>
      <c r="E503" s="99" t="s">
        <v>40</v>
      </c>
      <c r="F503" s="89" t="s">
        <v>48</v>
      </c>
      <c r="G503" s="99" t="s">
        <v>4288</v>
      </c>
      <c r="H503" s="99" t="s">
        <v>510</v>
      </c>
      <c r="I503" s="38" t="s">
        <v>114</v>
      </c>
      <c r="J503" s="49" t="s">
        <v>4289</v>
      </c>
      <c r="K503" s="49" t="s">
        <v>4290</v>
      </c>
      <c r="L503" s="63"/>
      <c r="M503" s="38" t="s">
        <v>99</v>
      </c>
      <c r="N503" s="43" t="s">
        <v>4291</v>
      </c>
      <c r="O503" s="43" t="s">
        <v>76</v>
      </c>
      <c r="P503" s="63" t="s">
        <v>4292</v>
      </c>
      <c r="Q503" s="63" t="s">
        <v>4293</v>
      </c>
      <c r="R503" s="50" t="s">
        <v>4294</v>
      </c>
      <c r="S503" s="99" t="s">
        <v>4295</v>
      </c>
      <c r="T503" s="99" t="s">
        <v>4296</v>
      </c>
      <c r="U503" s="99" t="s">
        <v>4297</v>
      </c>
      <c r="V503" s="60">
        <v>43746</v>
      </c>
      <c r="W503" s="49" t="s">
        <v>4298</v>
      </c>
      <c r="X503" s="99">
        <v>1467</v>
      </c>
      <c r="Y503" s="38" t="s">
        <v>52</v>
      </c>
      <c r="Z503" s="99" t="s">
        <v>156</v>
      </c>
      <c r="AA503" s="38" t="s">
        <v>125</v>
      </c>
      <c r="AB503" s="38" t="s">
        <v>282</v>
      </c>
      <c r="AC503" s="100"/>
      <c r="AD503" s="7"/>
      <c r="AE503" s="7"/>
      <c r="AF503" s="46"/>
      <c r="AG503" s="47"/>
      <c r="AH503" s="46"/>
      <c r="AI503" s="46"/>
    </row>
    <row r="504" spans="1:35" x14ac:dyDescent="0.25">
      <c r="A504" s="36">
        <v>497</v>
      </c>
      <c r="B504" s="98" t="s">
        <v>4299</v>
      </c>
      <c r="C504" s="99" t="s">
        <v>4300</v>
      </c>
      <c r="D504" s="88">
        <v>36803</v>
      </c>
      <c r="E504" s="99" t="s">
        <v>40</v>
      </c>
      <c r="F504" s="89" t="s">
        <v>48</v>
      </c>
      <c r="G504" s="99" t="s">
        <v>4301</v>
      </c>
      <c r="H504" s="99" t="s">
        <v>113</v>
      </c>
      <c r="I504" s="38" t="s">
        <v>114</v>
      </c>
      <c r="J504" s="49" t="s">
        <v>4302</v>
      </c>
      <c r="K504" s="49" t="s">
        <v>4303</v>
      </c>
      <c r="L504" s="49"/>
      <c r="M504" s="38" t="s">
        <v>99</v>
      </c>
      <c r="N504" s="43" t="s">
        <v>4304</v>
      </c>
      <c r="O504" s="43" t="s">
        <v>428</v>
      </c>
      <c r="P504" s="49" t="s">
        <v>4305</v>
      </c>
      <c r="Q504" s="49" t="s">
        <v>2398</v>
      </c>
      <c r="R504" s="50" t="s">
        <v>4306</v>
      </c>
      <c r="S504" s="99" t="s">
        <v>4307</v>
      </c>
      <c r="T504" s="99" t="s">
        <v>152</v>
      </c>
      <c r="U504" s="99">
        <v>85339459158</v>
      </c>
      <c r="V504" s="60">
        <v>43759</v>
      </c>
      <c r="W504" s="49" t="s">
        <v>4308</v>
      </c>
      <c r="X504" s="99">
        <v>1468</v>
      </c>
      <c r="Y504" s="38" t="s">
        <v>52</v>
      </c>
      <c r="Z504" s="99" t="s">
        <v>156</v>
      </c>
      <c r="AA504" s="38" t="s">
        <v>125</v>
      </c>
      <c r="AB504" s="38" t="s">
        <v>566</v>
      </c>
      <c r="AC504" s="100"/>
      <c r="AD504" s="7"/>
      <c r="AE504" s="7"/>
      <c r="AF504" s="46" t="str">
        <f>IF(R504="","",RIGHT(R504,LEN(R504)-FIND("@",R504)))</f>
        <v>gmail.com</v>
      </c>
      <c r="AG504" s="47">
        <f>LEN(R504)-LEN(SUBSTITUTE(R504," ",""))</f>
        <v>0</v>
      </c>
      <c r="AH504" s="46" t="str">
        <f>SUBSTITUTE(R504," ","")</f>
        <v>endot869@gmail.com</v>
      </c>
      <c r="AI504" s="46">
        <f>LEN(AH504)-LEN(SUBSTITUTE(AH504," ",""))</f>
        <v>0</v>
      </c>
    </row>
    <row r="505" spans="1:35" x14ac:dyDescent="0.25">
      <c r="A505" s="36">
        <v>498</v>
      </c>
      <c r="B505" s="98" t="s">
        <v>4309</v>
      </c>
      <c r="C505" s="99" t="s">
        <v>94</v>
      </c>
      <c r="D505" s="88">
        <v>34704</v>
      </c>
      <c r="E505" s="99" t="s">
        <v>95</v>
      </c>
      <c r="F505" s="89" t="s">
        <v>48</v>
      </c>
      <c r="G505" s="99" t="s">
        <v>4310</v>
      </c>
      <c r="H505" s="99" t="s">
        <v>113</v>
      </c>
      <c r="I505" s="38" t="s">
        <v>114</v>
      </c>
      <c r="J505" s="49" t="s">
        <v>4311</v>
      </c>
      <c r="K505" s="49" t="s">
        <v>4312</v>
      </c>
      <c r="L505" s="63"/>
      <c r="M505" s="38" t="s">
        <v>99</v>
      </c>
      <c r="N505" s="49" t="s">
        <v>4313</v>
      </c>
      <c r="O505" s="49" t="s">
        <v>76</v>
      </c>
      <c r="P505" s="49" t="s">
        <v>4314</v>
      </c>
      <c r="Q505" s="63" t="s">
        <v>4315</v>
      </c>
      <c r="R505" s="50" t="s">
        <v>4316</v>
      </c>
      <c r="S505" s="99" t="s">
        <v>4317</v>
      </c>
      <c r="T505" s="99" t="s">
        <v>1185</v>
      </c>
      <c r="U505" s="99" t="s">
        <v>4318</v>
      </c>
      <c r="V505" s="60">
        <v>43760</v>
      </c>
      <c r="W505" s="49" t="s">
        <v>4319</v>
      </c>
      <c r="X505" s="99">
        <v>1469</v>
      </c>
      <c r="Y505" s="38" t="s">
        <v>52</v>
      </c>
      <c r="Z505" s="38" t="s">
        <v>172</v>
      </c>
      <c r="AA505" s="38" t="s">
        <v>125</v>
      </c>
      <c r="AB505" s="38" t="s">
        <v>341</v>
      </c>
      <c r="AC505" s="100"/>
      <c r="AD505" s="7"/>
      <c r="AE505" s="7"/>
      <c r="AF505" s="46"/>
      <c r="AG505" s="47"/>
      <c r="AH505" s="46"/>
      <c r="AI505" s="46"/>
    </row>
    <row r="506" spans="1:35" x14ac:dyDescent="0.25">
      <c r="A506" s="36">
        <v>499</v>
      </c>
      <c r="B506" s="98" t="s">
        <v>4320</v>
      </c>
      <c r="C506" s="99" t="s">
        <v>1827</v>
      </c>
      <c r="D506" s="88">
        <v>36378</v>
      </c>
      <c r="E506" s="99" t="s">
        <v>40</v>
      </c>
      <c r="F506" s="89" t="s">
        <v>48</v>
      </c>
      <c r="G506" s="99" t="s">
        <v>4321</v>
      </c>
      <c r="H506" s="99" t="s">
        <v>72</v>
      </c>
      <c r="I506" s="38" t="s">
        <v>114</v>
      </c>
      <c r="J506" s="49" t="s">
        <v>4322</v>
      </c>
      <c r="K506" s="49"/>
      <c r="L506" s="63"/>
      <c r="M506" s="38" t="s">
        <v>99</v>
      </c>
      <c r="N506" s="43" t="s">
        <v>4323</v>
      </c>
      <c r="O506" s="43" t="s">
        <v>428</v>
      </c>
      <c r="P506" s="63" t="s">
        <v>4324</v>
      </c>
      <c r="Q506" s="49"/>
      <c r="R506" s="50" t="s">
        <v>4325</v>
      </c>
      <c r="S506" s="99" t="s">
        <v>4326</v>
      </c>
      <c r="T506" s="99"/>
      <c r="U506" s="99"/>
      <c r="V506" s="60">
        <v>43766</v>
      </c>
      <c r="W506" s="49" t="s">
        <v>4327</v>
      </c>
      <c r="X506" s="99">
        <v>1470</v>
      </c>
      <c r="Y506" s="38" t="s">
        <v>52</v>
      </c>
      <c r="Z506" s="99" t="s">
        <v>1816</v>
      </c>
      <c r="AA506" s="38" t="s">
        <v>777</v>
      </c>
      <c r="AB506" s="38" t="s">
        <v>778</v>
      </c>
      <c r="AC506" s="100"/>
      <c r="AD506" s="7"/>
      <c r="AE506" s="7"/>
      <c r="AF506" s="46"/>
      <c r="AG506" s="47"/>
      <c r="AH506" s="46"/>
      <c r="AI506" s="46"/>
    </row>
    <row r="507" spans="1:35" x14ac:dyDescent="0.25">
      <c r="A507" s="48">
        <v>500</v>
      </c>
      <c r="B507" s="98" t="s">
        <v>4328</v>
      </c>
      <c r="C507" s="99" t="s">
        <v>94</v>
      </c>
      <c r="D507" s="88">
        <v>37150</v>
      </c>
      <c r="E507" s="99" t="s">
        <v>40</v>
      </c>
      <c r="F507" s="99" t="s">
        <v>129</v>
      </c>
      <c r="G507" s="99" t="s">
        <v>4329</v>
      </c>
      <c r="H507" s="99" t="s">
        <v>72</v>
      </c>
      <c r="I507" s="38" t="s">
        <v>114</v>
      </c>
      <c r="J507" s="49" t="s">
        <v>4330</v>
      </c>
      <c r="K507" s="49" t="s">
        <v>4331</v>
      </c>
      <c r="L507" s="49"/>
      <c r="M507" s="38" t="s">
        <v>99</v>
      </c>
      <c r="N507" s="49" t="s">
        <v>4332</v>
      </c>
      <c r="O507" s="49" t="s">
        <v>164</v>
      </c>
      <c r="P507" s="49" t="s">
        <v>4333</v>
      </c>
      <c r="Q507" s="49" t="s">
        <v>3378</v>
      </c>
      <c r="R507" s="50" t="s">
        <v>4334</v>
      </c>
      <c r="S507" s="99" t="s">
        <v>3380</v>
      </c>
      <c r="T507" s="99" t="s">
        <v>3381</v>
      </c>
      <c r="U507" s="99">
        <v>81338502485</v>
      </c>
      <c r="V507" s="60">
        <v>43770</v>
      </c>
      <c r="W507" s="49" t="s">
        <v>4335</v>
      </c>
      <c r="X507" s="99">
        <v>1471</v>
      </c>
      <c r="Y507" s="38" t="s">
        <v>52</v>
      </c>
      <c r="Z507" s="99" t="s">
        <v>156</v>
      </c>
      <c r="AA507" s="38" t="s">
        <v>125</v>
      </c>
      <c r="AB507" s="38" t="s">
        <v>566</v>
      </c>
      <c r="AC507" s="100"/>
      <c r="AD507" s="7"/>
      <c r="AE507" s="7"/>
      <c r="AF507" s="46"/>
      <c r="AG507" s="47"/>
      <c r="AH507" s="46"/>
      <c r="AI507" s="46"/>
    </row>
    <row r="508" spans="1:35" x14ac:dyDescent="0.25">
      <c r="A508" s="36">
        <v>501</v>
      </c>
      <c r="B508" s="98" t="s">
        <v>4336</v>
      </c>
      <c r="C508" s="99" t="s">
        <v>4337</v>
      </c>
      <c r="D508" s="88">
        <v>36643</v>
      </c>
      <c r="E508" s="99" t="s">
        <v>40</v>
      </c>
      <c r="F508" s="89" t="s">
        <v>48</v>
      </c>
      <c r="G508" s="99" t="s">
        <v>4338</v>
      </c>
      <c r="H508" s="99" t="s">
        <v>113</v>
      </c>
      <c r="I508" s="38" t="s">
        <v>114</v>
      </c>
      <c r="J508" s="49" t="s">
        <v>4339</v>
      </c>
      <c r="K508" s="49"/>
      <c r="L508" s="49"/>
      <c r="M508" s="38" t="s">
        <v>99</v>
      </c>
      <c r="N508" s="43" t="s">
        <v>48</v>
      </c>
      <c r="O508" s="43"/>
      <c r="P508" s="49" t="s">
        <v>4340</v>
      </c>
      <c r="Q508" s="63" t="s">
        <v>4341</v>
      </c>
      <c r="R508" s="50" t="s">
        <v>4342</v>
      </c>
      <c r="S508" s="99" t="s">
        <v>4343</v>
      </c>
      <c r="T508" s="99"/>
      <c r="U508" s="99"/>
      <c r="V508" s="60">
        <v>43773</v>
      </c>
      <c r="W508" s="49" t="s">
        <v>4344</v>
      </c>
      <c r="X508" s="99">
        <v>1472</v>
      </c>
      <c r="Y508" s="38" t="s">
        <v>52</v>
      </c>
      <c r="Z508" s="99" t="s">
        <v>156</v>
      </c>
      <c r="AA508" s="38" t="s">
        <v>125</v>
      </c>
      <c r="AB508" s="38" t="s">
        <v>126</v>
      </c>
      <c r="AC508" s="100"/>
      <c r="AD508" s="7"/>
      <c r="AE508" s="7"/>
      <c r="AF508" s="46"/>
      <c r="AG508" s="47"/>
      <c r="AH508" s="46"/>
      <c r="AI508" s="46"/>
    </row>
    <row r="509" spans="1:35" x14ac:dyDescent="0.25">
      <c r="A509" s="36">
        <v>502</v>
      </c>
      <c r="B509" s="101" t="s">
        <v>4345</v>
      </c>
      <c r="C509" s="102" t="s">
        <v>4346</v>
      </c>
      <c r="D509" s="72">
        <v>35879</v>
      </c>
      <c r="E509" s="102" t="s">
        <v>40</v>
      </c>
      <c r="F509" s="101"/>
      <c r="G509" s="102" t="s">
        <v>4347</v>
      </c>
      <c r="H509" s="102"/>
      <c r="I509" s="102"/>
      <c r="J509" s="102" t="s">
        <v>4348</v>
      </c>
      <c r="K509" s="102"/>
      <c r="L509" s="102"/>
      <c r="M509" s="102"/>
      <c r="N509" s="102"/>
      <c r="O509" s="102"/>
      <c r="P509" s="102"/>
      <c r="Q509" s="102" t="s">
        <v>4349</v>
      </c>
      <c r="R509" s="57" t="s">
        <v>74</v>
      </c>
      <c r="S509" s="102" t="s">
        <v>94</v>
      </c>
      <c r="T509" s="102"/>
      <c r="U509" s="102" t="s">
        <v>4350</v>
      </c>
      <c r="V509" s="72">
        <v>43773</v>
      </c>
      <c r="W509" s="102"/>
      <c r="X509" s="102"/>
      <c r="Y509" s="102" t="s">
        <v>85</v>
      </c>
      <c r="Z509" s="102" t="s">
        <v>396</v>
      </c>
      <c r="AA509" s="54" t="s">
        <v>4015</v>
      </c>
      <c r="AB509" s="54" t="s">
        <v>500</v>
      </c>
      <c r="AC509" s="103">
        <v>43803</v>
      </c>
      <c r="AD509" s="7"/>
      <c r="AE509" s="46"/>
      <c r="AF509" s="46"/>
      <c r="AG509" s="47"/>
      <c r="AH509" s="46"/>
      <c r="AI509" s="46"/>
    </row>
    <row r="510" spans="1:35" x14ac:dyDescent="0.25">
      <c r="A510" s="36">
        <v>503</v>
      </c>
      <c r="B510" s="98" t="s">
        <v>4351</v>
      </c>
      <c r="C510" s="99" t="s">
        <v>94</v>
      </c>
      <c r="D510" s="88">
        <v>36213</v>
      </c>
      <c r="E510" s="99" t="s">
        <v>40</v>
      </c>
      <c r="F510" s="99" t="s">
        <v>129</v>
      </c>
      <c r="G510" s="99" t="s">
        <v>4352</v>
      </c>
      <c r="H510" s="99" t="s">
        <v>72</v>
      </c>
      <c r="I510" s="38" t="s">
        <v>114</v>
      </c>
      <c r="J510" s="89" t="s">
        <v>4353</v>
      </c>
      <c r="K510" s="89" t="s">
        <v>4168</v>
      </c>
      <c r="L510" s="89"/>
      <c r="M510" s="38" t="s">
        <v>99</v>
      </c>
      <c r="N510" s="43" t="s">
        <v>4354</v>
      </c>
      <c r="O510" s="43" t="s">
        <v>76</v>
      </c>
      <c r="P510" s="89" t="s">
        <v>4355</v>
      </c>
      <c r="Q510" s="89" t="s">
        <v>4356</v>
      </c>
      <c r="R510" s="50" t="s">
        <v>4357</v>
      </c>
      <c r="S510" s="99" t="s">
        <v>4358</v>
      </c>
      <c r="T510" s="99" t="s">
        <v>1896</v>
      </c>
      <c r="U510" s="89" t="s">
        <v>4171</v>
      </c>
      <c r="V510" s="60">
        <v>43780</v>
      </c>
      <c r="W510" s="49" t="s">
        <v>4359</v>
      </c>
      <c r="X510" s="99">
        <v>1474</v>
      </c>
      <c r="Y510" s="38" t="s">
        <v>52</v>
      </c>
      <c r="Z510" s="38" t="s">
        <v>396</v>
      </c>
      <c r="AA510" s="38" t="s">
        <v>397</v>
      </c>
      <c r="AB510" s="38" t="s">
        <v>55</v>
      </c>
      <c r="AC510" s="100"/>
      <c r="AD510" s="7"/>
      <c r="AE510" s="7"/>
      <c r="AF510" s="46"/>
      <c r="AG510" s="47"/>
      <c r="AH510" s="46"/>
      <c r="AI510" s="46"/>
    </row>
    <row r="511" spans="1:35" x14ac:dyDescent="0.25">
      <c r="A511" s="36">
        <v>504</v>
      </c>
      <c r="B511" s="98" t="s">
        <v>4360</v>
      </c>
      <c r="C511" s="99" t="s">
        <v>267</v>
      </c>
      <c r="D511" s="88">
        <v>36015</v>
      </c>
      <c r="E511" s="99" t="s">
        <v>95</v>
      </c>
      <c r="F511" s="99" t="s">
        <v>129</v>
      </c>
      <c r="G511" s="99" t="s">
        <v>4361</v>
      </c>
      <c r="H511" s="99" t="s">
        <v>43</v>
      </c>
      <c r="I511" s="38" t="s">
        <v>114</v>
      </c>
      <c r="J511" s="89" t="s">
        <v>4362</v>
      </c>
      <c r="K511" s="89" t="s">
        <v>4363</v>
      </c>
      <c r="L511" s="89"/>
      <c r="M511" s="38" t="s">
        <v>99</v>
      </c>
      <c r="N511" s="89" t="s">
        <v>4364</v>
      </c>
      <c r="O511" s="89" t="s">
        <v>147</v>
      </c>
      <c r="P511" s="89" t="s">
        <v>4365</v>
      </c>
      <c r="Q511" s="89" t="s">
        <v>4366</v>
      </c>
      <c r="R511" s="74" t="s">
        <v>4367</v>
      </c>
      <c r="S511" s="99" t="s">
        <v>4368</v>
      </c>
      <c r="T511" s="99" t="s">
        <v>3836</v>
      </c>
      <c r="U511" s="89" t="s">
        <v>4369</v>
      </c>
      <c r="V511" s="60">
        <v>43780</v>
      </c>
      <c r="W511" s="49" t="s">
        <v>4370</v>
      </c>
      <c r="X511" s="99">
        <v>1475</v>
      </c>
      <c r="Y511" s="38" t="s">
        <v>52</v>
      </c>
      <c r="Z511" s="38" t="s">
        <v>396</v>
      </c>
      <c r="AA511" s="38" t="s">
        <v>397</v>
      </c>
      <c r="AB511" s="38" t="s">
        <v>55</v>
      </c>
      <c r="AC511" s="100"/>
      <c r="AD511" s="7"/>
      <c r="AE511" s="7"/>
      <c r="AF511" s="46" t="str">
        <f>IF(R511="","",RIGHT(R511,LEN(R511)-FIND("@",R511)))</f>
        <v>gmail.com</v>
      </c>
      <c r="AG511" s="47">
        <f>LEN(R511)-LEN(SUBSTITUTE(R511," ",""))</f>
        <v>0</v>
      </c>
      <c r="AH511" s="46" t="str">
        <f>SUBSTITUTE(R511," ","")</f>
        <v>citradheaverica8@gmail.com</v>
      </c>
      <c r="AI511" s="46">
        <f>LEN(AH511)-LEN(SUBSTITUTE(AH511," ",""))</f>
        <v>0</v>
      </c>
    </row>
    <row r="512" spans="1:35" x14ac:dyDescent="0.25">
      <c r="A512" s="36">
        <v>505</v>
      </c>
      <c r="B512" s="98" t="s">
        <v>4371</v>
      </c>
      <c r="C512" s="99" t="s">
        <v>94</v>
      </c>
      <c r="D512" s="88">
        <v>35300</v>
      </c>
      <c r="E512" s="99" t="s">
        <v>95</v>
      </c>
      <c r="F512" s="99" t="s">
        <v>129</v>
      </c>
      <c r="G512" s="99" t="s">
        <v>4372</v>
      </c>
      <c r="H512" s="99" t="s">
        <v>72</v>
      </c>
      <c r="I512" s="38" t="s">
        <v>114</v>
      </c>
      <c r="J512" s="49" t="s">
        <v>4373</v>
      </c>
      <c r="K512" s="49" t="s">
        <v>4374</v>
      </c>
      <c r="L512" s="63"/>
      <c r="M512" s="38" t="s">
        <v>99</v>
      </c>
      <c r="N512" s="43" t="s">
        <v>4375</v>
      </c>
      <c r="O512" s="43" t="s">
        <v>428</v>
      </c>
      <c r="P512" s="63" t="s">
        <v>4376</v>
      </c>
      <c r="Q512" s="49" t="s">
        <v>4377</v>
      </c>
      <c r="R512" s="50" t="s">
        <v>4378</v>
      </c>
      <c r="S512" s="99" t="s">
        <v>4379</v>
      </c>
      <c r="T512" s="99" t="s">
        <v>613</v>
      </c>
      <c r="U512" s="89" t="s">
        <v>4380</v>
      </c>
      <c r="V512" s="60">
        <v>43783</v>
      </c>
      <c r="W512" s="49" t="s">
        <v>4381</v>
      </c>
      <c r="X512" s="99">
        <v>1477</v>
      </c>
      <c r="Y512" s="38" t="s">
        <v>52</v>
      </c>
      <c r="Z512" s="38" t="s">
        <v>172</v>
      </c>
      <c r="AA512" s="38" t="s">
        <v>125</v>
      </c>
      <c r="AB512" s="38" t="s">
        <v>884</v>
      </c>
      <c r="AC512" s="100"/>
      <c r="AD512" s="7"/>
      <c r="AE512" s="7"/>
      <c r="AF512" s="46" t="str">
        <f>IF(R512="","",RIGHT(R512,LEN(R512)-FIND("@",R512)))</f>
        <v>gmail.com</v>
      </c>
      <c r="AG512" s="47">
        <f>LEN(R512)-LEN(SUBSTITUTE(R512," ",""))</f>
        <v>0</v>
      </c>
      <c r="AH512" s="46" t="str">
        <f>SUBSTITUTE(R512," ","")</f>
        <v>megasupriani23@gmail.com</v>
      </c>
      <c r="AI512" s="46">
        <f>LEN(AH512)-LEN(SUBSTITUTE(AH512," ",""))</f>
        <v>0</v>
      </c>
    </row>
    <row r="513" spans="1:35" x14ac:dyDescent="0.25">
      <c r="A513" s="48">
        <v>506</v>
      </c>
      <c r="B513" s="98" t="s">
        <v>4382</v>
      </c>
      <c r="C513" s="99" t="s">
        <v>94</v>
      </c>
      <c r="D513" s="88">
        <v>36590</v>
      </c>
      <c r="E513" s="99" t="s">
        <v>95</v>
      </c>
      <c r="F513" s="99" t="s">
        <v>48</v>
      </c>
      <c r="G513" s="99" t="s">
        <v>4383</v>
      </c>
      <c r="H513" s="99" t="s">
        <v>72</v>
      </c>
      <c r="I513" s="38" t="s">
        <v>114</v>
      </c>
      <c r="J513" s="49" t="s">
        <v>4384</v>
      </c>
      <c r="K513" s="49" t="s">
        <v>4385</v>
      </c>
      <c r="L513" s="63"/>
      <c r="M513" s="38" t="s">
        <v>99</v>
      </c>
      <c r="N513" s="43" t="s">
        <v>4386</v>
      </c>
      <c r="O513" s="43" t="s">
        <v>428</v>
      </c>
      <c r="P513" s="63" t="s">
        <v>4387</v>
      </c>
      <c r="Q513" s="49" t="s">
        <v>4388</v>
      </c>
      <c r="R513" s="50" t="s">
        <v>4389</v>
      </c>
      <c r="S513" s="99" t="s">
        <v>4390</v>
      </c>
      <c r="T513" s="99" t="s">
        <v>613</v>
      </c>
      <c r="U513" s="99" t="s">
        <v>4391</v>
      </c>
      <c r="V513" s="60">
        <v>43783</v>
      </c>
      <c r="W513" s="49" t="s">
        <v>4392</v>
      </c>
      <c r="X513" s="99">
        <v>1476</v>
      </c>
      <c r="Y513" s="38" t="s">
        <v>52</v>
      </c>
      <c r="Z513" s="38" t="s">
        <v>396</v>
      </c>
      <c r="AA513" s="38" t="s">
        <v>109</v>
      </c>
      <c r="AB513" s="38" t="s">
        <v>55</v>
      </c>
      <c r="AC513" s="100"/>
      <c r="AD513" s="7"/>
      <c r="AE513" s="7"/>
      <c r="AF513" s="46"/>
      <c r="AG513" s="47"/>
      <c r="AH513" s="46"/>
      <c r="AI513" s="46"/>
    </row>
    <row r="514" spans="1:35" x14ac:dyDescent="0.25">
      <c r="A514" s="36">
        <v>507</v>
      </c>
      <c r="B514" s="98" t="s">
        <v>4393</v>
      </c>
      <c r="C514" s="99" t="s">
        <v>4394</v>
      </c>
      <c r="D514" s="88">
        <v>36819</v>
      </c>
      <c r="E514" s="99" t="s">
        <v>40</v>
      </c>
      <c r="F514" s="89" t="s">
        <v>48</v>
      </c>
      <c r="G514" s="99" t="s">
        <v>4395</v>
      </c>
      <c r="H514" s="99" t="s">
        <v>510</v>
      </c>
      <c r="I514" s="38" t="s">
        <v>114</v>
      </c>
      <c r="J514" s="49" t="s">
        <v>4396</v>
      </c>
      <c r="K514" s="49" t="s">
        <v>4397</v>
      </c>
      <c r="L514" s="49"/>
      <c r="M514" s="38" t="s">
        <v>99</v>
      </c>
      <c r="N514" s="43" t="s">
        <v>4398</v>
      </c>
      <c r="O514" s="43" t="s">
        <v>428</v>
      </c>
      <c r="P514" s="41" t="s">
        <v>672</v>
      </c>
      <c r="Q514" s="49" t="s">
        <v>4399</v>
      </c>
      <c r="R514" s="74" t="s">
        <v>4400</v>
      </c>
      <c r="S514" s="99" t="s">
        <v>4401</v>
      </c>
      <c r="T514" s="99" t="s">
        <v>2518</v>
      </c>
      <c r="U514" s="99" t="s">
        <v>4402</v>
      </c>
      <c r="V514" s="60">
        <v>43784</v>
      </c>
      <c r="W514" s="49" t="s">
        <v>4403</v>
      </c>
      <c r="X514" s="99">
        <v>1478</v>
      </c>
      <c r="Y514" s="38" t="s">
        <v>52</v>
      </c>
      <c r="Z514" s="99" t="s">
        <v>156</v>
      </c>
      <c r="AA514" s="38" t="s">
        <v>125</v>
      </c>
      <c r="AB514" s="38" t="s">
        <v>546</v>
      </c>
      <c r="AC514" s="100"/>
      <c r="AD514" s="7"/>
      <c r="AE514" s="7"/>
      <c r="AF514" s="46"/>
      <c r="AG514" s="47"/>
      <c r="AH514" s="46"/>
      <c r="AI514" s="46"/>
    </row>
    <row r="515" spans="1:35" x14ac:dyDescent="0.25">
      <c r="A515" s="36">
        <v>508</v>
      </c>
      <c r="B515" s="98" t="s">
        <v>4404</v>
      </c>
      <c r="C515" s="99" t="s">
        <v>328</v>
      </c>
      <c r="D515" s="88">
        <v>32889</v>
      </c>
      <c r="E515" s="99" t="s">
        <v>40</v>
      </c>
      <c r="F515" s="99">
        <v>0</v>
      </c>
      <c r="G515" s="99" t="s">
        <v>4405</v>
      </c>
      <c r="H515" s="99" t="s">
        <v>113</v>
      </c>
      <c r="I515" s="38" t="s">
        <v>114</v>
      </c>
      <c r="J515" s="49" t="s">
        <v>4406</v>
      </c>
      <c r="K515" s="49" t="s">
        <v>4407</v>
      </c>
      <c r="L515" s="63"/>
      <c r="M515" s="38" t="s">
        <v>99</v>
      </c>
      <c r="N515" s="43" t="s">
        <v>48</v>
      </c>
      <c r="O515" s="43"/>
      <c r="P515" s="63" t="s">
        <v>4408</v>
      </c>
      <c r="Q515" s="63" t="s">
        <v>4409</v>
      </c>
      <c r="R515" s="50" t="s">
        <v>4410</v>
      </c>
      <c r="S515" s="99" t="s">
        <v>4411</v>
      </c>
      <c r="T515" s="99" t="s">
        <v>613</v>
      </c>
      <c r="U515" s="89" t="s">
        <v>48</v>
      </c>
      <c r="V515" s="60">
        <v>43787</v>
      </c>
      <c r="W515" s="49" t="s">
        <v>4412</v>
      </c>
      <c r="X515" s="99">
        <v>1480</v>
      </c>
      <c r="Y515" s="38" t="s">
        <v>52</v>
      </c>
      <c r="Z515" s="99" t="s">
        <v>3610</v>
      </c>
      <c r="AA515" s="38" t="s">
        <v>125</v>
      </c>
      <c r="AB515" s="38" t="s">
        <v>884</v>
      </c>
      <c r="AC515" s="100"/>
      <c r="AD515" s="7"/>
      <c r="AE515" s="7"/>
      <c r="AF515" s="46"/>
      <c r="AG515" s="47"/>
      <c r="AH515" s="46"/>
      <c r="AI515" s="46"/>
    </row>
    <row r="516" spans="1:35" x14ac:dyDescent="0.25">
      <c r="A516" s="36">
        <v>509</v>
      </c>
      <c r="B516" s="101" t="s">
        <v>4413</v>
      </c>
      <c r="C516" s="102" t="s">
        <v>328</v>
      </c>
      <c r="D516" s="72">
        <v>35278</v>
      </c>
      <c r="E516" s="102" t="s">
        <v>40</v>
      </c>
      <c r="F516" s="101"/>
      <c r="G516" s="102" t="s">
        <v>328</v>
      </c>
      <c r="H516" s="102"/>
      <c r="I516" s="102"/>
      <c r="J516" s="102" t="s">
        <v>4414</v>
      </c>
      <c r="K516" s="102"/>
      <c r="L516" s="102"/>
      <c r="M516" s="102"/>
      <c r="N516" s="102"/>
      <c r="O516" s="102"/>
      <c r="P516" s="102"/>
      <c r="Q516" s="102" t="s">
        <v>4415</v>
      </c>
      <c r="R516" s="57" t="s">
        <v>74</v>
      </c>
      <c r="S516" s="102" t="s">
        <v>4416</v>
      </c>
      <c r="T516" s="102"/>
      <c r="U516" s="102" t="s">
        <v>4417</v>
      </c>
      <c r="V516" s="72">
        <v>43787</v>
      </c>
      <c r="W516" s="102"/>
      <c r="X516" s="102"/>
      <c r="Y516" s="102" t="s">
        <v>85</v>
      </c>
      <c r="Z516" s="102" t="s">
        <v>156</v>
      </c>
      <c r="AA516" s="54" t="s">
        <v>125</v>
      </c>
      <c r="AB516" s="54" t="s">
        <v>689</v>
      </c>
      <c r="AC516" s="103">
        <v>43890</v>
      </c>
      <c r="AD516" s="7"/>
      <c r="AE516" s="46"/>
      <c r="AF516" s="46"/>
      <c r="AG516" s="47"/>
      <c r="AH516" s="46"/>
      <c r="AI516" s="46"/>
    </row>
    <row r="517" spans="1:35" x14ac:dyDescent="0.25">
      <c r="A517" s="36">
        <v>510</v>
      </c>
      <c r="B517" s="98" t="s">
        <v>4418</v>
      </c>
      <c r="C517" s="99" t="s">
        <v>94</v>
      </c>
      <c r="D517" s="88">
        <v>35236</v>
      </c>
      <c r="E517" s="99" t="s">
        <v>40</v>
      </c>
      <c r="F517" s="99" t="s">
        <v>41</v>
      </c>
      <c r="G517" s="99" t="s">
        <v>4419</v>
      </c>
      <c r="H517" s="99" t="s">
        <v>72</v>
      </c>
      <c r="I517" s="38" t="s">
        <v>114</v>
      </c>
      <c r="J517" s="49" t="s">
        <v>4420</v>
      </c>
      <c r="K517" s="49" t="s">
        <v>4421</v>
      </c>
      <c r="L517" s="63"/>
      <c r="M517" s="38" t="s">
        <v>99</v>
      </c>
      <c r="N517" s="43" t="s">
        <v>48</v>
      </c>
      <c r="O517" s="43"/>
      <c r="P517" s="43" t="s">
        <v>4422</v>
      </c>
      <c r="Q517" s="49"/>
      <c r="R517" s="50" t="s">
        <v>4423</v>
      </c>
      <c r="S517" s="99" t="s">
        <v>4424</v>
      </c>
      <c r="T517" s="99"/>
      <c r="U517" s="99"/>
      <c r="V517" s="60">
        <v>43789</v>
      </c>
      <c r="W517" s="49" t="s">
        <v>4425</v>
      </c>
      <c r="X517" s="99">
        <v>1481</v>
      </c>
      <c r="Y517" s="38" t="s">
        <v>52</v>
      </c>
      <c r="Z517" s="99" t="s">
        <v>948</v>
      </c>
      <c r="AA517" s="38" t="s">
        <v>777</v>
      </c>
      <c r="AB517" s="38" t="s">
        <v>778</v>
      </c>
      <c r="AC517" s="100"/>
      <c r="AD517" s="7"/>
      <c r="AE517" s="7"/>
      <c r="AF517" s="46"/>
      <c r="AG517" s="47"/>
      <c r="AH517" s="46"/>
      <c r="AI517" s="46"/>
    </row>
    <row r="518" spans="1:35" x14ac:dyDescent="0.25">
      <c r="A518" s="36">
        <v>511</v>
      </c>
      <c r="B518" s="101" t="s">
        <v>4426</v>
      </c>
      <c r="C518" s="102" t="s">
        <v>4427</v>
      </c>
      <c r="D518" s="72">
        <v>36003</v>
      </c>
      <c r="E518" s="102" t="s">
        <v>95</v>
      </c>
      <c r="F518" s="101"/>
      <c r="G518" s="102" t="s">
        <v>4428</v>
      </c>
      <c r="H518" s="102"/>
      <c r="I518" s="102"/>
      <c r="J518" s="102" t="s">
        <v>4429</v>
      </c>
      <c r="K518" s="102"/>
      <c r="L518" s="102"/>
      <c r="M518" s="54" t="s">
        <v>99</v>
      </c>
      <c r="N518" s="102"/>
      <c r="O518" s="102"/>
      <c r="P518" s="102"/>
      <c r="Q518" s="102" t="s">
        <v>4430</v>
      </c>
      <c r="R518" s="57" t="s">
        <v>74</v>
      </c>
      <c r="S518" s="102" t="s">
        <v>4431</v>
      </c>
      <c r="T518" s="102"/>
      <c r="U518" s="102" t="s">
        <v>4432</v>
      </c>
      <c r="V518" s="72">
        <v>43791</v>
      </c>
      <c r="W518" s="102"/>
      <c r="X518" s="102"/>
      <c r="Y518" s="102" t="s">
        <v>85</v>
      </c>
      <c r="Z518" s="102" t="s">
        <v>396</v>
      </c>
      <c r="AA518" s="54" t="s">
        <v>4015</v>
      </c>
      <c r="AB518" s="54" t="s">
        <v>500</v>
      </c>
      <c r="AC518" s="103">
        <v>43893</v>
      </c>
      <c r="AD518" s="7"/>
      <c r="AE518" s="46"/>
      <c r="AF518" s="46"/>
      <c r="AG518" s="47"/>
      <c r="AH518" s="46"/>
      <c r="AI518" s="46"/>
    </row>
    <row r="519" spans="1:35" x14ac:dyDescent="0.25">
      <c r="A519" s="48">
        <v>512</v>
      </c>
      <c r="B519" s="98" t="s">
        <v>4433</v>
      </c>
      <c r="C519" s="99" t="s">
        <v>4434</v>
      </c>
      <c r="D519" s="88">
        <v>36508</v>
      </c>
      <c r="E519" s="99" t="s">
        <v>95</v>
      </c>
      <c r="F519" s="99" t="s">
        <v>48</v>
      </c>
      <c r="G519" s="99" t="s">
        <v>4435</v>
      </c>
      <c r="H519" s="99" t="s">
        <v>72</v>
      </c>
      <c r="I519" s="38" t="s">
        <v>114</v>
      </c>
      <c r="J519" s="99" t="s">
        <v>4436</v>
      </c>
      <c r="K519" s="99" t="s">
        <v>4437</v>
      </c>
      <c r="L519" s="99"/>
      <c r="M519" s="38" t="s">
        <v>99</v>
      </c>
      <c r="N519" s="99" t="s">
        <v>4438</v>
      </c>
      <c r="O519" s="99" t="s">
        <v>164</v>
      </c>
      <c r="P519" s="99" t="s">
        <v>4439</v>
      </c>
      <c r="Q519" s="99" t="s">
        <v>4440</v>
      </c>
      <c r="R519" s="50" t="s">
        <v>4441</v>
      </c>
      <c r="S519" s="99" t="s">
        <v>4442</v>
      </c>
      <c r="T519" s="99" t="s">
        <v>4058</v>
      </c>
      <c r="U519" s="99" t="s">
        <v>4443</v>
      </c>
      <c r="V519" s="60">
        <v>43794</v>
      </c>
      <c r="W519" s="49" t="s">
        <v>4444</v>
      </c>
      <c r="X519" s="99">
        <v>1483</v>
      </c>
      <c r="Y519" s="38" t="s">
        <v>52</v>
      </c>
      <c r="Z519" s="38" t="s">
        <v>396</v>
      </c>
      <c r="AA519" s="38" t="s">
        <v>3569</v>
      </c>
      <c r="AB519" s="38" t="s">
        <v>55</v>
      </c>
      <c r="AC519" s="100"/>
      <c r="AD519" s="7"/>
      <c r="AE519" s="7"/>
      <c r="AF519" s="46" t="str">
        <f>IF(R519="","",RIGHT(R519,LEN(R519)-FIND("@",R519)))</f>
        <v>gmail.com</v>
      </c>
      <c r="AG519" s="47">
        <f>LEN(R519)-LEN(SUBSTITUTE(R519," ",""))</f>
        <v>0</v>
      </c>
      <c r="AH519" s="46" t="str">
        <f>SUBSTITUTE(R519," ","")</f>
        <v>yanianggi625@gmail.com</v>
      </c>
      <c r="AI519" s="46">
        <f>LEN(AH519)-LEN(SUBSTITUTE(AH519," ",""))</f>
        <v>0</v>
      </c>
    </row>
    <row r="520" spans="1:35" x14ac:dyDescent="0.25">
      <c r="A520" s="36">
        <v>513</v>
      </c>
      <c r="B520" s="98" t="s">
        <v>4445</v>
      </c>
      <c r="C520" s="99" t="s">
        <v>3612</v>
      </c>
      <c r="D520" s="88">
        <v>25355</v>
      </c>
      <c r="E520" s="99" t="s">
        <v>40</v>
      </c>
      <c r="F520" s="89" t="s">
        <v>48</v>
      </c>
      <c r="G520" s="99" t="s">
        <v>4446</v>
      </c>
      <c r="H520" s="99" t="s">
        <v>510</v>
      </c>
      <c r="I520" s="99" t="s">
        <v>44</v>
      </c>
      <c r="J520" s="89" t="s">
        <v>4447</v>
      </c>
      <c r="K520" s="99"/>
      <c r="L520" s="42" t="s">
        <v>4448</v>
      </c>
      <c r="M520" s="99" t="s">
        <v>47</v>
      </c>
      <c r="N520" s="49" t="s">
        <v>4449</v>
      </c>
      <c r="O520" s="49" t="s">
        <v>164</v>
      </c>
      <c r="P520" s="49" t="s">
        <v>2762</v>
      </c>
      <c r="Q520" s="49" t="s">
        <v>2763</v>
      </c>
      <c r="R520" s="50" t="s">
        <v>4450</v>
      </c>
      <c r="S520" s="99" t="s">
        <v>2765</v>
      </c>
      <c r="T520" s="99" t="s">
        <v>463</v>
      </c>
      <c r="U520" s="99"/>
      <c r="V520" s="60">
        <v>43800</v>
      </c>
      <c r="W520" s="49" t="s">
        <v>4451</v>
      </c>
      <c r="X520" s="99">
        <v>1493</v>
      </c>
      <c r="Y520" s="38" t="s">
        <v>52</v>
      </c>
      <c r="Z520" s="99" t="s">
        <v>4452</v>
      </c>
      <c r="AA520" s="38" t="s">
        <v>82</v>
      </c>
      <c r="AB520" s="38" t="s">
        <v>55</v>
      </c>
      <c r="AC520" s="100"/>
      <c r="AD520" s="7"/>
      <c r="AE520" s="7"/>
      <c r="AF520" s="46" t="str">
        <f>IF(R520="","",RIGHT(R520,LEN(R520)-FIND("@",R520)))</f>
        <v>yahoo.com</v>
      </c>
      <c r="AG520" s="47">
        <f>LEN(R520)-LEN(SUBSTITUTE(R520," ",""))</f>
        <v>0</v>
      </c>
      <c r="AH520" s="46" t="str">
        <f>SUBSTITUTE(R520," ","")</f>
        <v>handjaja_wigiarto@yahoo.com</v>
      </c>
      <c r="AI520" s="46">
        <f>LEN(AH520)-LEN(SUBSTITUTE(AH520," ",""))</f>
        <v>0</v>
      </c>
    </row>
    <row r="521" spans="1:35" x14ac:dyDescent="0.25">
      <c r="A521" s="36">
        <v>514</v>
      </c>
      <c r="B521" s="101" t="s">
        <v>4453</v>
      </c>
      <c r="C521" s="102" t="s">
        <v>3439</v>
      </c>
      <c r="D521" s="72">
        <v>34752</v>
      </c>
      <c r="E521" s="102" t="s">
        <v>40</v>
      </c>
      <c r="F521" s="101"/>
      <c r="G521" s="102" t="s">
        <v>4454</v>
      </c>
      <c r="H521" s="102"/>
      <c r="I521" s="102"/>
      <c r="J521" s="102" t="s">
        <v>4455</v>
      </c>
      <c r="K521" s="102"/>
      <c r="L521" s="102"/>
      <c r="M521" s="102"/>
      <c r="N521" s="102"/>
      <c r="O521" s="102"/>
      <c r="P521" s="102"/>
      <c r="Q521" s="102" t="s">
        <v>4456</v>
      </c>
      <c r="R521" s="57" t="s">
        <v>74</v>
      </c>
      <c r="S521" s="102" t="s">
        <v>4457</v>
      </c>
      <c r="T521" s="102"/>
      <c r="U521" s="102" t="s">
        <v>4458</v>
      </c>
      <c r="V521" s="72">
        <v>43800</v>
      </c>
      <c r="W521" s="102"/>
      <c r="X521" s="102"/>
      <c r="Y521" s="102" t="s">
        <v>85</v>
      </c>
      <c r="Z521" s="102" t="s">
        <v>172</v>
      </c>
      <c r="AA521" s="54" t="s">
        <v>125</v>
      </c>
      <c r="AB521" s="54" t="s">
        <v>994</v>
      </c>
      <c r="AC521" s="103">
        <v>43898</v>
      </c>
      <c r="AD521" s="7"/>
      <c r="AE521" s="46"/>
      <c r="AF521" s="46"/>
      <c r="AG521" s="47"/>
      <c r="AH521" s="46"/>
      <c r="AI521" s="46"/>
    </row>
    <row r="522" spans="1:35" x14ac:dyDescent="0.25">
      <c r="A522" s="36">
        <v>515</v>
      </c>
      <c r="B522" s="98" t="s">
        <v>4459</v>
      </c>
      <c r="C522" s="99" t="s">
        <v>2392</v>
      </c>
      <c r="D522" s="88">
        <v>36714</v>
      </c>
      <c r="E522" s="99" t="s">
        <v>95</v>
      </c>
      <c r="F522" s="99" t="s">
        <v>41</v>
      </c>
      <c r="G522" s="99" t="s">
        <v>4460</v>
      </c>
      <c r="H522" s="99" t="s">
        <v>113</v>
      </c>
      <c r="I522" s="38" t="s">
        <v>114</v>
      </c>
      <c r="J522" s="49" t="s">
        <v>4461</v>
      </c>
      <c r="K522" s="49" t="s">
        <v>2395</v>
      </c>
      <c r="L522" s="49"/>
      <c r="M522" s="38" t="s">
        <v>99</v>
      </c>
      <c r="N522" s="43" t="s">
        <v>4462</v>
      </c>
      <c r="O522" s="43" t="s">
        <v>147</v>
      </c>
      <c r="P522" s="49" t="s">
        <v>4463</v>
      </c>
      <c r="Q522" s="49" t="s">
        <v>3456</v>
      </c>
      <c r="R522" s="105" t="s">
        <v>4464</v>
      </c>
      <c r="S522" s="99" t="s">
        <v>4465</v>
      </c>
      <c r="T522" s="99" t="s">
        <v>463</v>
      </c>
      <c r="U522" s="99">
        <v>81238353979</v>
      </c>
      <c r="V522" s="60">
        <v>43801</v>
      </c>
      <c r="W522" s="49" t="s">
        <v>4466</v>
      </c>
      <c r="X522" s="99">
        <v>1485</v>
      </c>
      <c r="Y522" s="38" t="s">
        <v>52</v>
      </c>
      <c r="Z522" s="38" t="s">
        <v>172</v>
      </c>
      <c r="AA522" s="38" t="s">
        <v>125</v>
      </c>
      <c r="AB522" s="38" t="s">
        <v>566</v>
      </c>
      <c r="AC522" s="100"/>
      <c r="AD522" s="7"/>
      <c r="AE522" s="7"/>
      <c r="AF522" s="46"/>
      <c r="AG522" s="47"/>
      <c r="AH522" s="46"/>
      <c r="AI522" s="46"/>
    </row>
    <row r="523" spans="1:35" x14ac:dyDescent="0.25">
      <c r="A523" s="36">
        <v>516</v>
      </c>
      <c r="B523" s="98" t="s">
        <v>4467</v>
      </c>
      <c r="C523" s="99" t="s">
        <v>94</v>
      </c>
      <c r="D523" s="88">
        <v>36084</v>
      </c>
      <c r="E523" s="99" t="s">
        <v>40</v>
      </c>
      <c r="F523" s="99" t="s">
        <v>129</v>
      </c>
      <c r="G523" s="99" t="s">
        <v>4468</v>
      </c>
      <c r="H523" s="99" t="s">
        <v>113</v>
      </c>
      <c r="I523" s="38" t="s">
        <v>114</v>
      </c>
      <c r="J523" s="49" t="s">
        <v>4469</v>
      </c>
      <c r="K523" s="49" t="s">
        <v>4470</v>
      </c>
      <c r="L523" s="49"/>
      <c r="M523" s="38" t="s">
        <v>99</v>
      </c>
      <c r="N523" s="49" t="s">
        <v>4471</v>
      </c>
      <c r="O523" s="49" t="s">
        <v>164</v>
      </c>
      <c r="P523" s="49" t="s">
        <v>4472</v>
      </c>
      <c r="Q523" s="49" t="s">
        <v>4473</v>
      </c>
      <c r="R523" s="50" t="s">
        <v>4474</v>
      </c>
      <c r="S523" s="99" t="s">
        <v>4475</v>
      </c>
      <c r="T523" s="99" t="s">
        <v>1846</v>
      </c>
      <c r="U523" s="99" t="s">
        <v>4476</v>
      </c>
      <c r="V523" s="60">
        <v>43801</v>
      </c>
      <c r="W523" s="49" t="s">
        <v>4477</v>
      </c>
      <c r="X523" s="99">
        <v>1486</v>
      </c>
      <c r="Y523" s="38" t="s">
        <v>52</v>
      </c>
      <c r="Z523" s="38" t="s">
        <v>396</v>
      </c>
      <c r="AA523" s="38" t="s">
        <v>1389</v>
      </c>
      <c r="AB523" s="38" t="s">
        <v>55</v>
      </c>
      <c r="AC523" s="100"/>
      <c r="AD523" s="7"/>
      <c r="AE523" s="7"/>
      <c r="AF523" s="46"/>
      <c r="AG523" s="47"/>
      <c r="AH523" s="46"/>
      <c r="AI523" s="46"/>
    </row>
    <row r="524" spans="1:35" x14ac:dyDescent="0.25">
      <c r="A524" s="36">
        <v>517</v>
      </c>
      <c r="B524" s="37" t="s">
        <v>4478</v>
      </c>
      <c r="C524" s="38" t="s">
        <v>4479</v>
      </c>
      <c r="D524" s="39">
        <v>35276</v>
      </c>
      <c r="E524" s="38" t="s">
        <v>40</v>
      </c>
      <c r="F524" s="38" t="s">
        <v>48</v>
      </c>
      <c r="G524" s="38" t="s">
        <v>4480</v>
      </c>
      <c r="H524" s="38" t="s">
        <v>113</v>
      </c>
      <c r="I524" s="38" t="s">
        <v>114</v>
      </c>
      <c r="J524" s="41" t="s">
        <v>4481</v>
      </c>
      <c r="K524" s="41" t="s">
        <v>4482</v>
      </c>
      <c r="L524" s="42" t="s">
        <v>4483</v>
      </c>
      <c r="M524" s="38" t="s">
        <v>99</v>
      </c>
      <c r="N524" s="43" t="s">
        <v>4484</v>
      </c>
      <c r="O524" s="43" t="s">
        <v>76</v>
      </c>
      <c r="P524" s="41" t="s">
        <v>4485</v>
      </c>
      <c r="Q524" s="41" t="s">
        <v>4486</v>
      </c>
      <c r="R524" s="50" t="s">
        <v>4487</v>
      </c>
      <c r="S524" s="38" t="s">
        <v>4488</v>
      </c>
      <c r="T524" s="38" t="s">
        <v>4489</v>
      </c>
      <c r="U524" s="38" t="s">
        <v>4490</v>
      </c>
      <c r="V524" s="52">
        <v>43810</v>
      </c>
      <c r="W524" s="41" t="s">
        <v>4491</v>
      </c>
      <c r="X524" s="38">
        <v>1487</v>
      </c>
      <c r="Y524" s="38" t="s">
        <v>52</v>
      </c>
      <c r="Z524" s="38" t="s">
        <v>156</v>
      </c>
      <c r="AA524" s="38" t="s">
        <v>125</v>
      </c>
      <c r="AB524" s="38" t="s">
        <v>246</v>
      </c>
      <c r="AC524" s="45"/>
      <c r="AD524" s="7"/>
      <c r="AE524" s="7"/>
      <c r="AF524" s="46" t="str">
        <f>IF(R524="","",RIGHT(R524,LEN(R524)-FIND("@",R524)))</f>
        <v>gmail.com</v>
      </c>
      <c r="AG524" s="47">
        <f>LEN(R524)-LEN(SUBSTITUTE(R524," ",""))</f>
        <v>0</v>
      </c>
      <c r="AH524" s="46" t="str">
        <f>SUBSTITUTE(R524," ","")</f>
        <v>permanadandy88@gmail.com</v>
      </c>
      <c r="AI524" s="46">
        <f>LEN(AH524)-LEN(SUBSTITUTE(AH524," ",""))</f>
        <v>0</v>
      </c>
    </row>
    <row r="525" spans="1:35" x14ac:dyDescent="0.25">
      <c r="A525" s="48">
        <v>518</v>
      </c>
      <c r="B525" s="53" t="s">
        <v>4492</v>
      </c>
      <c r="C525" s="54" t="s">
        <v>548</v>
      </c>
      <c r="D525" s="55">
        <v>36216</v>
      </c>
      <c r="E525" s="54" t="s">
        <v>40</v>
      </c>
      <c r="F525" s="53"/>
      <c r="G525" s="54" t="s">
        <v>4493</v>
      </c>
      <c r="H525" s="54"/>
      <c r="I525" s="54"/>
      <c r="J525" s="54" t="s">
        <v>4494</v>
      </c>
      <c r="K525" s="54"/>
      <c r="L525" s="54"/>
      <c r="M525" s="54"/>
      <c r="N525" s="54"/>
      <c r="O525" s="54"/>
      <c r="P525" s="54"/>
      <c r="Q525" s="54" t="s">
        <v>4495</v>
      </c>
      <c r="R525" s="57" t="s">
        <v>74</v>
      </c>
      <c r="S525" s="54" t="s">
        <v>4496</v>
      </c>
      <c r="T525" s="54"/>
      <c r="U525" s="54" t="s">
        <v>4497</v>
      </c>
      <c r="V525" s="55">
        <v>43810</v>
      </c>
      <c r="W525" s="54"/>
      <c r="X525" s="54"/>
      <c r="Y525" s="54" t="s">
        <v>85</v>
      </c>
      <c r="Z525" s="54" t="s">
        <v>156</v>
      </c>
      <c r="AA525" s="54"/>
      <c r="AB525" s="54" t="s">
        <v>382</v>
      </c>
      <c r="AC525" s="58">
        <v>43861</v>
      </c>
      <c r="AD525" s="7"/>
      <c r="AE525" s="46"/>
      <c r="AF525" s="46"/>
      <c r="AG525" s="47"/>
      <c r="AH525" s="46"/>
      <c r="AI525" s="46"/>
    </row>
    <row r="526" spans="1:35" x14ac:dyDescent="0.25">
      <c r="A526" s="36">
        <v>519</v>
      </c>
      <c r="B526" s="37" t="s">
        <v>4498</v>
      </c>
      <c r="C526" s="38" t="s">
        <v>94</v>
      </c>
      <c r="D526" s="39">
        <v>35410</v>
      </c>
      <c r="E526" s="38" t="s">
        <v>95</v>
      </c>
      <c r="F526" s="38" t="s">
        <v>48</v>
      </c>
      <c r="G526" s="38" t="s">
        <v>4499</v>
      </c>
      <c r="H526" s="38" t="s">
        <v>72</v>
      </c>
      <c r="I526" s="38" t="s">
        <v>114</v>
      </c>
      <c r="J526" s="41" t="s">
        <v>4500</v>
      </c>
      <c r="K526" s="41" t="s">
        <v>4501</v>
      </c>
      <c r="L526" s="41"/>
      <c r="M526" s="38" t="s">
        <v>99</v>
      </c>
      <c r="N526" s="43" t="s">
        <v>4502</v>
      </c>
      <c r="O526" s="43" t="s">
        <v>76</v>
      </c>
      <c r="P526" s="43" t="s">
        <v>4503</v>
      </c>
      <c r="Q526" s="41" t="s">
        <v>4504</v>
      </c>
      <c r="R526" s="50" t="s">
        <v>4505</v>
      </c>
      <c r="S526" s="38" t="s">
        <v>4506</v>
      </c>
      <c r="T526" s="38" t="s">
        <v>4507</v>
      </c>
      <c r="U526" s="38" t="s">
        <v>4508</v>
      </c>
      <c r="V526" s="52">
        <v>43812</v>
      </c>
      <c r="W526" s="41" t="s">
        <v>4509</v>
      </c>
      <c r="X526" s="38">
        <v>1491</v>
      </c>
      <c r="Y526" s="38" t="s">
        <v>52</v>
      </c>
      <c r="Z526" s="38" t="s">
        <v>172</v>
      </c>
      <c r="AA526" s="38" t="s">
        <v>125</v>
      </c>
      <c r="AB526" s="38" t="s">
        <v>246</v>
      </c>
      <c r="AC526" s="45"/>
      <c r="AD526" s="7" t="s">
        <v>1</v>
      </c>
      <c r="AE526" s="7"/>
      <c r="AF526" s="46" t="str">
        <f>IF(R526="","",RIGHT(R526,LEN(R526)-FIND("@",R526)))</f>
        <v>gmail.com</v>
      </c>
      <c r="AG526" s="47">
        <f>LEN(R526)-LEN(SUBSTITUTE(R526," ",""))</f>
        <v>0</v>
      </c>
      <c r="AH526" s="46" t="str">
        <f>SUBSTITUTE(R526," ","")</f>
        <v>arywidiastuti10@gmail.com</v>
      </c>
      <c r="AI526" s="46">
        <f>LEN(AH526)-LEN(SUBSTITUTE(AH526," ",""))</f>
        <v>0</v>
      </c>
    </row>
    <row r="527" spans="1:35" x14ac:dyDescent="0.25">
      <c r="A527" s="36">
        <v>520</v>
      </c>
      <c r="B527" s="37" t="s">
        <v>4510</v>
      </c>
      <c r="C527" s="38" t="s">
        <v>3084</v>
      </c>
      <c r="D527" s="39">
        <v>35205</v>
      </c>
      <c r="E527" s="38" t="s">
        <v>40</v>
      </c>
      <c r="F527" s="40" t="s">
        <v>48</v>
      </c>
      <c r="G527" s="38" t="s">
        <v>4511</v>
      </c>
      <c r="H527" s="38" t="s">
        <v>510</v>
      </c>
      <c r="I527" s="38" t="s">
        <v>114</v>
      </c>
      <c r="J527" s="41" t="s">
        <v>4512</v>
      </c>
      <c r="K527" s="41"/>
      <c r="L527" s="43"/>
      <c r="M527" s="38" t="s">
        <v>99</v>
      </c>
      <c r="N527" s="43" t="s">
        <v>48</v>
      </c>
      <c r="O527" s="43"/>
      <c r="P527" s="43" t="s">
        <v>4513</v>
      </c>
      <c r="Q527" s="43" t="s">
        <v>4514</v>
      </c>
      <c r="R527" s="50" t="s">
        <v>4515</v>
      </c>
      <c r="S527" s="38" t="s">
        <v>4516</v>
      </c>
      <c r="T527" s="38" t="s">
        <v>65</v>
      </c>
      <c r="U527" s="38" t="s">
        <v>4517</v>
      </c>
      <c r="V527" s="52">
        <v>43812</v>
      </c>
      <c r="W527" s="41" t="s">
        <v>4518</v>
      </c>
      <c r="X527" s="38">
        <v>1489</v>
      </c>
      <c r="Y527" s="38" t="s">
        <v>52</v>
      </c>
      <c r="Z527" s="38" t="s">
        <v>156</v>
      </c>
      <c r="AA527" s="38" t="s">
        <v>125</v>
      </c>
      <c r="AB527" s="38" t="s">
        <v>282</v>
      </c>
      <c r="AC527" s="45"/>
      <c r="AD527" s="7"/>
      <c r="AE527" s="7"/>
      <c r="AF527" s="46"/>
      <c r="AG527" s="47"/>
      <c r="AH527" s="46"/>
      <c r="AI527" s="46"/>
    </row>
    <row r="528" spans="1:35" x14ac:dyDescent="0.25">
      <c r="A528" s="36">
        <v>521</v>
      </c>
      <c r="B528" s="37" t="s">
        <v>4519</v>
      </c>
      <c r="C528" s="38" t="s">
        <v>3683</v>
      </c>
      <c r="D528" s="39">
        <v>36714</v>
      </c>
      <c r="E528" s="38" t="s">
        <v>95</v>
      </c>
      <c r="F528" s="40" t="s">
        <v>48</v>
      </c>
      <c r="G528" s="38" t="s">
        <v>4520</v>
      </c>
      <c r="H528" s="38" t="s">
        <v>113</v>
      </c>
      <c r="I528" s="38" t="s">
        <v>114</v>
      </c>
      <c r="J528" s="41" t="s">
        <v>4521</v>
      </c>
      <c r="K528" s="41" t="s">
        <v>4522</v>
      </c>
      <c r="L528" s="43"/>
      <c r="M528" s="38" t="s">
        <v>99</v>
      </c>
      <c r="N528" s="43" t="s">
        <v>48</v>
      </c>
      <c r="O528" s="43"/>
      <c r="P528" s="41" t="s">
        <v>672</v>
      </c>
      <c r="Q528" s="43" t="s">
        <v>4523</v>
      </c>
      <c r="R528" s="50" t="s">
        <v>4524</v>
      </c>
      <c r="S528" s="38" t="s">
        <v>4525</v>
      </c>
      <c r="T528" s="38" t="s">
        <v>613</v>
      </c>
      <c r="U528" s="38" t="s">
        <v>4526</v>
      </c>
      <c r="V528" s="52">
        <v>43812</v>
      </c>
      <c r="W528" s="41" t="s">
        <v>4527</v>
      </c>
      <c r="X528" s="38">
        <v>1490</v>
      </c>
      <c r="Y528" s="38" t="s">
        <v>52</v>
      </c>
      <c r="Z528" s="38" t="s">
        <v>172</v>
      </c>
      <c r="AA528" s="38" t="s">
        <v>125</v>
      </c>
      <c r="AB528" s="38" t="s">
        <v>282</v>
      </c>
      <c r="AC528" s="45"/>
      <c r="AD528" s="7"/>
      <c r="AE528" s="7"/>
      <c r="AF528" s="46"/>
      <c r="AG528" s="47"/>
      <c r="AH528" s="46"/>
      <c r="AI528" s="46"/>
    </row>
    <row r="529" spans="1:35" x14ac:dyDescent="0.25">
      <c r="A529" s="36">
        <v>522</v>
      </c>
      <c r="B529" s="37" t="s">
        <v>4528</v>
      </c>
      <c r="C529" s="38" t="s">
        <v>94</v>
      </c>
      <c r="D529" s="39">
        <v>34980</v>
      </c>
      <c r="E529" s="38" t="s">
        <v>40</v>
      </c>
      <c r="F529" s="38" t="s">
        <v>4529</v>
      </c>
      <c r="G529" s="38" t="s">
        <v>4530</v>
      </c>
      <c r="H529" s="38" t="s">
        <v>72</v>
      </c>
      <c r="I529" s="38" t="s">
        <v>114</v>
      </c>
      <c r="J529" s="40" t="s">
        <v>4531</v>
      </c>
      <c r="K529" s="40" t="s">
        <v>4532</v>
      </c>
      <c r="L529" s="40"/>
      <c r="M529" s="38" t="s">
        <v>99</v>
      </c>
      <c r="N529" s="40" t="s">
        <v>4533</v>
      </c>
      <c r="O529" s="40" t="s">
        <v>147</v>
      </c>
      <c r="P529" s="40" t="s">
        <v>4534</v>
      </c>
      <c r="Q529" s="40" t="s">
        <v>4535</v>
      </c>
      <c r="R529" s="50" t="s">
        <v>4536</v>
      </c>
      <c r="S529" s="38" t="s">
        <v>4537</v>
      </c>
      <c r="T529" s="38" t="s">
        <v>4538</v>
      </c>
      <c r="U529" s="40" t="s">
        <v>4539</v>
      </c>
      <c r="V529" s="52">
        <v>43815</v>
      </c>
      <c r="W529" s="41" t="s">
        <v>4540</v>
      </c>
      <c r="X529" s="38">
        <v>1492</v>
      </c>
      <c r="Y529" s="38" t="s">
        <v>52</v>
      </c>
      <c r="Z529" s="38" t="s">
        <v>396</v>
      </c>
      <c r="AA529" s="38" t="s">
        <v>500</v>
      </c>
      <c r="AB529" s="38" t="s">
        <v>214</v>
      </c>
      <c r="AC529" s="45"/>
      <c r="AD529" s="7"/>
      <c r="AE529" s="7"/>
      <c r="AF529" s="46" t="str">
        <f>IF(R529="","",RIGHT(R529,LEN(R529)-FIND("@",R529)))</f>
        <v>gmail.com</v>
      </c>
      <c r="AG529" s="47">
        <f>LEN(R529)-LEN(SUBSTITUTE(R529," ",""))</f>
        <v>0</v>
      </c>
      <c r="AH529" s="46" t="str">
        <f>SUBSTITUTE(R529," ","")</f>
        <v>putuarsadana12@gmail.com</v>
      </c>
      <c r="AI529" s="46">
        <f>LEN(AH529)-LEN(SUBSTITUTE(AH529," ",""))</f>
        <v>0</v>
      </c>
    </row>
    <row r="530" spans="1:35" x14ac:dyDescent="0.25">
      <c r="A530" s="36">
        <v>523</v>
      </c>
      <c r="B530" s="53" t="s">
        <v>4541</v>
      </c>
      <c r="C530" s="54" t="s">
        <v>4542</v>
      </c>
      <c r="D530" s="55">
        <v>35570</v>
      </c>
      <c r="E530" s="54" t="s">
        <v>40</v>
      </c>
      <c r="F530" s="54" t="s">
        <v>48</v>
      </c>
      <c r="G530" s="54" t="s">
        <v>4542</v>
      </c>
      <c r="H530" s="54" t="s">
        <v>510</v>
      </c>
      <c r="I530" s="54" t="s">
        <v>114</v>
      </c>
      <c r="J530" s="66" t="s">
        <v>4543</v>
      </c>
      <c r="K530" s="66" t="s">
        <v>4544</v>
      </c>
      <c r="L530" s="66"/>
      <c r="M530" s="54" t="s">
        <v>99</v>
      </c>
      <c r="N530" s="66" t="s">
        <v>4545</v>
      </c>
      <c r="O530" s="66"/>
      <c r="P530" s="66"/>
      <c r="Q530" s="66" t="s">
        <v>4546</v>
      </c>
      <c r="R530" s="57" t="s">
        <v>74</v>
      </c>
      <c r="S530" s="54" t="s">
        <v>4547</v>
      </c>
      <c r="T530" s="54" t="s">
        <v>152</v>
      </c>
      <c r="U530" s="54" t="s">
        <v>4548</v>
      </c>
      <c r="V530" s="72">
        <v>43822</v>
      </c>
      <c r="W530" s="90" t="s">
        <v>4549</v>
      </c>
      <c r="X530" s="102">
        <v>1495</v>
      </c>
      <c r="Y530" s="102" t="s">
        <v>85</v>
      </c>
      <c r="Z530" s="102" t="s">
        <v>156</v>
      </c>
      <c r="AA530" s="54" t="s">
        <v>125</v>
      </c>
      <c r="AB530" s="102" t="s">
        <v>1570</v>
      </c>
      <c r="AC530" s="58">
        <v>43939</v>
      </c>
      <c r="AD530" s="7"/>
      <c r="AE530" s="46"/>
      <c r="AF530" s="46"/>
      <c r="AG530" s="47"/>
      <c r="AH530" s="46"/>
      <c r="AI530" s="46"/>
    </row>
    <row r="531" spans="1:35" x14ac:dyDescent="0.25">
      <c r="A531" s="48">
        <v>524</v>
      </c>
      <c r="B531" s="53" t="s">
        <v>4550</v>
      </c>
      <c r="C531" s="54" t="s">
        <v>94</v>
      </c>
      <c r="D531" s="55">
        <v>35730</v>
      </c>
      <c r="E531" s="54" t="s">
        <v>95</v>
      </c>
      <c r="F531" s="69" t="s">
        <v>48</v>
      </c>
      <c r="G531" s="54" t="s">
        <v>4551</v>
      </c>
      <c r="H531" s="54" t="s">
        <v>72</v>
      </c>
      <c r="I531" s="54" t="s">
        <v>114</v>
      </c>
      <c r="J531" s="66" t="s">
        <v>4552</v>
      </c>
      <c r="K531" s="66" t="s">
        <v>4553</v>
      </c>
      <c r="L531" s="66"/>
      <c r="M531" s="54" t="s">
        <v>99</v>
      </c>
      <c r="N531" s="66" t="s">
        <v>48</v>
      </c>
      <c r="O531" s="66"/>
      <c r="P531" s="66"/>
      <c r="Q531" s="66" t="s">
        <v>4554</v>
      </c>
      <c r="R531" s="57" t="s">
        <v>74</v>
      </c>
      <c r="S531" s="54" t="s">
        <v>391</v>
      </c>
      <c r="T531" s="54" t="s">
        <v>463</v>
      </c>
      <c r="U531" s="54" t="s">
        <v>4555</v>
      </c>
      <c r="V531" s="72">
        <v>43822</v>
      </c>
      <c r="W531" s="90" t="s">
        <v>4556</v>
      </c>
      <c r="X531" s="102">
        <v>1494</v>
      </c>
      <c r="Y531" s="102" t="s">
        <v>85</v>
      </c>
      <c r="Z531" s="102" t="s">
        <v>4557</v>
      </c>
      <c r="AA531" s="54" t="s">
        <v>125</v>
      </c>
      <c r="AB531" s="102" t="s">
        <v>1026</v>
      </c>
      <c r="AC531" s="58">
        <v>43951</v>
      </c>
      <c r="AD531" s="7"/>
      <c r="AE531" s="46"/>
      <c r="AF531" s="46"/>
      <c r="AG531" s="47"/>
      <c r="AH531" s="46"/>
      <c r="AI531" s="46"/>
    </row>
    <row r="532" spans="1:35" x14ac:dyDescent="0.25">
      <c r="A532" s="36">
        <v>525</v>
      </c>
      <c r="B532" s="53" t="s">
        <v>4558</v>
      </c>
      <c r="C532" s="54" t="s">
        <v>216</v>
      </c>
      <c r="D532" s="55">
        <v>36808</v>
      </c>
      <c r="E532" s="54" t="s">
        <v>40</v>
      </c>
      <c r="F532" s="69" t="s">
        <v>48</v>
      </c>
      <c r="G532" s="54" t="s">
        <v>4559</v>
      </c>
      <c r="H532" s="54" t="s">
        <v>113</v>
      </c>
      <c r="I532" s="54" t="s">
        <v>114</v>
      </c>
      <c r="J532" s="66" t="s">
        <v>4560</v>
      </c>
      <c r="K532" s="66" t="s">
        <v>4561</v>
      </c>
      <c r="L532" s="68"/>
      <c r="M532" s="54" t="s">
        <v>99</v>
      </c>
      <c r="N532" s="68" t="s">
        <v>48</v>
      </c>
      <c r="O532" s="68"/>
      <c r="P532" s="68"/>
      <c r="Q532" s="66" t="s">
        <v>4562</v>
      </c>
      <c r="R532" s="57" t="s">
        <v>74</v>
      </c>
      <c r="S532" s="54" t="s">
        <v>4563</v>
      </c>
      <c r="T532" s="54" t="s">
        <v>613</v>
      </c>
      <c r="U532" s="54" t="s">
        <v>4564</v>
      </c>
      <c r="V532" s="72">
        <v>43824</v>
      </c>
      <c r="W532" s="70" t="s">
        <v>4565</v>
      </c>
      <c r="X532" s="102">
        <v>1496</v>
      </c>
      <c r="Y532" s="102" t="s">
        <v>85</v>
      </c>
      <c r="Z532" s="102" t="s">
        <v>156</v>
      </c>
      <c r="AA532" s="54" t="s">
        <v>125</v>
      </c>
      <c r="AB532" s="102" t="s">
        <v>689</v>
      </c>
      <c r="AC532" s="58">
        <v>43890</v>
      </c>
      <c r="AD532" s="77"/>
      <c r="AE532" s="106"/>
      <c r="AF532" s="106"/>
      <c r="AG532" s="106"/>
      <c r="AH532" s="106"/>
      <c r="AI532" s="106"/>
    </row>
    <row r="533" spans="1:35" x14ac:dyDescent="0.25">
      <c r="A533" s="36">
        <v>526</v>
      </c>
      <c r="B533" s="91" t="s">
        <v>4566</v>
      </c>
      <c r="C533" s="36" t="s">
        <v>328</v>
      </c>
      <c r="D533" s="52">
        <v>35228</v>
      </c>
      <c r="E533" s="36" t="s">
        <v>40</v>
      </c>
      <c r="F533" s="36"/>
      <c r="G533" s="36" t="s">
        <v>4567</v>
      </c>
      <c r="H533" s="36" t="s">
        <v>113</v>
      </c>
      <c r="I533" s="36" t="s">
        <v>114</v>
      </c>
      <c r="J533" s="96" t="s">
        <v>4568</v>
      </c>
      <c r="K533" s="96" t="s">
        <v>4569</v>
      </c>
      <c r="L533" s="96"/>
      <c r="M533" s="36" t="s">
        <v>99</v>
      </c>
      <c r="N533" s="93" t="s">
        <v>4570</v>
      </c>
      <c r="O533" s="93" t="s">
        <v>428</v>
      </c>
      <c r="P533" s="96" t="s">
        <v>4571</v>
      </c>
      <c r="Q533" s="96" t="s">
        <v>4572</v>
      </c>
      <c r="R533" s="95" t="s">
        <v>4573</v>
      </c>
      <c r="S533" s="36" t="s">
        <v>4574</v>
      </c>
      <c r="T533" s="36" t="s">
        <v>65</v>
      </c>
      <c r="U533" s="92" t="s">
        <v>4575</v>
      </c>
      <c r="V533" s="60">
        <v>43825</v>
      </c>
      <c r="W533" s="94" t="s">
        <v>4576</v>
      </c>
      <c r="X533" s="61">
        <v>1497</v>
      </c>
      <c r="Y533" s="61" t="s">
        <v>52</v>
      </c>
      <c r="Z533" s="61" t="s">
        <v>156</v>
      </c>
      <c r="AA533" s="38" t="s">
        <v>125</v>
      </c>
      <c r="AB533" s="36" t="s">
        <v>641</v>
      </c>
      <c r="AC533" s="97"/>
      <c r="AD533" s="7"/>
      <c r="AE533" s="7"/>
      <c r="AF533" s="46" t="str">
        <f>IF(R533="","",RIGHT(R533,LEN(R533)-FIND("@",R533)))</f>
        <v>gmail.com</v>
      </c>
      <c r="AG533" s="47">
        <f>LEN(R533)-LEN(SUBSTITUTE(R533," ",""))</f>
        <v>0</v>
      </c>
      <c r="AH533" s="46" t="str">
        <f>SUBSTITUTE(R533," ","")</f>
        <v>rofek406@gmail.com</v>
      </c>
      <c r="AI533" s="46">
        <f>LEN(AH533)-LEN(SUBSTITUTE(AH533," ",""))</f>
        <v>0</v>
      </c>
    </row>
    <row r="534" spans="1:35" x14ac:dyDescent="0.25">
      <c r="A534" s="36">
        <v>527</v>
      </c>
      <c r="B534" s="37" t="s">
        <v>4577</v>
      </c>
      <c r="C534" s="38" t="s">
        <v>94</v>
      </c>
      <c r="D534" s="39">
        <v>34479</v>
      </c>
      <c r="E534" s="38" t="s">
        <v>40</v>
      </c>
      <c r="F534" s="40" t="s">
        <v>48</v>
      </c>
      <c r="G534" s="38" t="s">
        <v>4578</v>
      </c>
      <c r="H534" s="38" t="s">
        <v>510</v>
      </c>
      <c r="I534" s="38" t="s">
        <v>114</v>
      </c>
      <c r="J534" s="43" t="s">
        <v>4579</v>
      </c>
      <c r="K534" s="41"/>
      <c r="L534" s="41"/>
      <c r="M534" s="38" t="s">
        <v>99</v>
      </c>
      <c r="N534" s="43" t="s">
        <v>48</v>
      </c>
      <c r="O534" s="43"/>
      <c r="P534" s="43" t="s">
        <v>4580</v>
      </c>
      <c r="Q534" s="41"/>
      <c r="R534" s="50" t="s">
        <v>4581</v>
      </c>
      <c r="S534" s="38" t="s">
        <v>4582</v>
      </c>
      <c r="T534" s="38"/>
      <c r="U534" s="38"/>
      <c r="V534" s="107">
        <v>43832</v>
      </c>
      <c r="W534" s="108" t="s">
        <v>4583</v>
      </c>
      <c r="X534" s="109">
        <v>1498</v>
      </c>
      <c r="Y534" s="109" t="s">
        <v>4584</v>
      </c>
      <c r="Z534" s="109" t="s">
        <v>735</v>
      </c>
      <c r="AA534" s="38" t="s">
        <v>125</v>
      </c>
      <c r="AB534" s="38" t="s">
        <v>1599</v>
      </c>
      <c r="AC534" s="45"/>
      <c r="AD534" s="7"/>
      <c r="AE534" s="7"/>
      <c r="AF534" s="46" t="str">
        <f>IF(R534="","",RIGHT(R534,LEN(R534)-FIND("@",R534)))</f>
        <v>hotmail.com</v>
      </c>
      <c r="AG534" s="47">
        <f>LEN(R534)-LEN(SUBSTITUTE(R534," ",""))</f>
        <v>0</v>
      </c>
      <c r="AH534" s="46" t="str">
        <f>SUBSTITUTE(R534," ","")</f>
        <v>nicholas.sundoro@hotmail.com</v>
      </c>
      <c r="AI534" s="46">
        <f>LEN(AH534)-LEN(SUBSTITUTE(AH534," ",""))</f>
        <v>0</v>
      </c>
    </row>
    <row r="535" spans="1:35" x14ac:dyDescent="0.25">
      <c r="A535" s="36">
        <v>528</v>
      </c>
      <c r="B535" s="37" t="s">
        <v>4585</v>
      </c>
      <c r="C535" s="38" t="s">
        <v>57</v>
      </c>
      <c r="D535" s="39">
        <v>34255</v>
      </c>
      <c r="E535" s="38" t="s">
        <v>40</v>
      </c>
      <c r="F535" s="40" t="s">
        <v>48</v>
      </c>
      <c r="G535" s="38" t="s">
        <v>4586</v>
      </c>
      <c r="H535" s="38" t="s">
        <v>113</v>
      </c>
      <c r="I535" s="38" t="s">
        <v>114</v>
      </c>
      <c r="J535" s="41" t="s">
        <v>4587</v>
      </c>
      <c r="K535" s="41"/>
      <c r="L535" s="41"/>
      <c r="M535" s="38" t="s">
        <v>99</v>
      </c>
      <c r="N535" s="43" t="s">
        <v>4588</v>
      </c>
      <c r="O535" s="43" t="s">
        <v>76</v>
      </c>
      <c r="P535" s="43" t="s">
        <v>4589</v>
      </c>
      <c r="Q535" s="41"/>
      <c r="R535" s="50" t="s">
        <v>4590</v>
      </c>
      <c r="S535" s="38" t="s">
        <v>4591</v>
      </c>
      <c r="T535" s="38"/>
      <c r="U535" s="38"/>
      <c r="V535" s="60">
        <v>43833</v>
      </c>
      <c r="W535" s="49" t="s">
        <v>4592</v>
      </c>
      <c r="X535" s="99">
        <v>1500</v>
      </c>
      <c r="Y535" s="99" t="s">
        <v>52</v>
      </c>
      <c r="Z535" s="99" t="s">
        <v>156</v>
      </c>
      <c r="AA535" s="38" t="s">
        <v>125</v>
      </c>
      <c r="AB535" s="38" t="s">
        <v>434</v>
      </c>
      <c r="AC535" s="45"/>
      <c r="AD535" s="7"/>
      <c r="AE535" s="7"/>
      <c r="AF535" s="46" t="str">
        <f>IF(R535="","",RIGHT(R535,LEN(R535)-FIND("@",R535)))</f>
        <v>gmail.com</v>
      </c>
      <c r="AG535" s="47">
        <f>LEN(R535)-LEN(SUBSTITUTE(R535," ",""))</f>
        <v>0</v>
      </c>
      <c r="AH535" s="46" t="str">
        <f>SUBSTITUTE(R535," ","")</f>
        <v>haerulza93@gmail.com</v>
      </c>
      <c r="AI535" s="46">
        <f>LEN(AH535)-LEN(SUBSTITUTE(AH535," ",""))</f>
        <v>0</v>
      </c>
    </row>
    <row r="536" spans="1:35" x14ac:dyDescent="0.25">
      <c r="A536" s="36">
        <v>529</v>
      </c>
      <c r="B536" s="53" t="s">
        <v>4593</v>
      </c>
      <c r="C536" s="54" t="s">
        <v>57</v>
      </c>
      <c r="D536" s="55">
        <v>34074</v>
      </c>
      <c r="E536" s="54" t="s">
        <v>40</v>
      </c>
      <c r="F536" s="53"/>
      <c r="G536" s="54" t="s">
        <v>4594</v>
      </c>
      <c r="H536" s="54"/>
      <c r="I536" s="54"/>
      <c r="J536" s="54" t="s">
        <v>4595</v>
      </c>
      <c r="K536" s="54"/>
      <c r="L536" s="54"/>
      <c r="M536" s="54"/>
      <c r="N536" s="54"/>
      <c r="O536" s="54"/>
      <c r="P536" s="54"/>
      <c r="Q536" s="54" t="s">
        <v>4596</v>
      </c>
      <c r="R536" s="57" t="s">
        <v>74</v>
      </c>
      <c r="S536" s="54" t="s">
        <v>4597</v>
      </c>
      <c r="T536" s="54"/>
      <c r="U536" s="54" t="s">
        <v>4598</v>
      </c>
      <c r="V536" s="72">
        <v>43833</v>
      </c>
      <c r="W536" s="102"/>
      <c r="X536" s="102"/>
      <c r="Y536" s="102" t="s">
        <v>85</v>
      </c>
      <c r="Z536" s="102" t="s">
        <v>156</v>
      </c>
      <c r="AA536" s="54" t="s">
        <v>125</v>
      </c>
      <c r="AB536" s="54" t="s">
        <v>434</v>
      </c>
      <c r="AC536" s="58">
        <v>43890</v>
      </c>
      <c r="AD536" s="7"/>
      <c r="AE536" s="46"/>
      <c r="AF536" s="46"/>
      <c r="AG536" s="46"/>
      <c r="AH536" s="46"/>
      <c r="AI536" s="46"/>
    </row>
    <row r="537" spans="1:35" x14ac:dyDescent="0.25">
      <c r="A537" s="48">
        <v>530</v>
      </c>
      <c r="B537" s="37" t="s">
        <v>4599</v>
      </c>
      <c r="C537" s="38" t="s">
        <v>94</v>
      </c>
      <c r="D537" s="39">
        <v>35110</v>
      </c>
      <c r="E537" s="38" t="s">
        <v>40</v>
      </c>
      <c r="F537" s="38" t="s">
        <v>304</v>
      </c>
      <c r="G537" s="38" t="s">
        <v>4600</v>
      </c>
      <c r="H537" s="38" t="s">
        <v>72</v>
      </c>
      <c r="I537" s="38" t="s">
        <v>44</v>
      </c>
      <c r="J537" s="41" t="s">
        <v>4601</v>
      </c>
      <c r="K537" s="41" t="s">
        <v>4602</v>
      </c>
      <c r="L537" s="43" t="s">
        <v>1</v>
      </c>
      <c r="M537" s="38" t="s">
        <v>62</v>
      </c>
      <c r="N537" s="43" t="s">
        <v>48</v>
      </c>
      <c r="O537" s="43"/>
      <c r="P537" s="43" t="s">
        <v>4603</v>
      </c>
      <c r="Q537" s="43" t="s">
        <v>4604</v>
      </c>
      <c r="R537" s="50" t="s">
        <v>4605</v>
      </c>
      <c r="S537" s="38" t="s">
        <v>4606</v>
      </c>
      <c r="T537" s="38" t="s">
        <v>4607</v>
      </c>
      <c r="U537" s="40" t="s">
        <v>4608</v>
      </c>
      <c r="V537" s="60">
        <v>43836</v>
      </c>
      <c r="W537" s="49" t="s">
        <v>4609</v>
      </c>
      <c r="X537" s="99">
        <v>1503</v>
      </c>
      <c r="Y537" s="99" t="s">
        <v>52</v>
      </c>
      <c r="Z537" s="99" t="s">
        <v>226</v>
      </c>
      <c r="AA537" s="38" t="s">
        <v>125</v>
      </c>
      <c r="AB537" s="38" t="s">
        <v>282</v>
      </c>
      <c r="AC537" s="45"/>
      <c r="AD537" s="7" t="s">
        <v>1</v>
      </c>
      <c r="AE537" s="7"/>
      <c r="AF537" s="46"/>
      <c r="AG537" s="47"/>
      <c r="AH537" s="46"/>
      <c r="AI537" s="46"/>
    </row>
    <row r="538" spans="1:35" x14ac:dyDescent="0.25">
      <c r="A538" s="36">
        <v>531</v>
      </c>
      <c r="B538" s="37" t="s">
        <v>4610</v>
      </c>
      <c r="C538" s="38" t="s">
        <v>57</v>
      </c>
      <c r="D538" s="39">
        <v>36955</v>
      </c>
      <c r="E538" s="38" t="s">
        <v>95</v>
      </c>
      <c r="F538" s="40" t="s">
        <v>48</v>
      </c>
      <c r="G538" s="38" t="s">
        <v>4611</v>
      </c>
      <c r="H538" s="38" t="s">
        <v>113</v>
      </c>
      <c r="I538" s="38" t="s">
        <v>114</v>
      </c>
      <c r="J538" s="43" t="s">
        <v>4612</v>
      </c>
      <c r="K538" s="43" t="s">
        <v>4613</v>
      </c>
      <c r="L538" s="41"/>
      <c r="M538" s="38" t="s">
        <v>99</v>
      </c>
      <c r="N538" s="43" t="s">
        <v>4614</v>
      </c>
      <c r="O538" s="43" t="s">
        <v>428</v>
      </c>
      <c r="P538" s="41" t="s">
        <v>4615</v>
      </c>
      <c r="Q538" s="41"/>
      <c r="R538" s="50" t="s">
        <v>4616</v>
      </c>
      <c r="S538" s="38" t="s">
        <v>4617</v>
      </c>
      <c r="T538" s="38"/>
      <c r="U538" s="38"/>
      <c r="V538" s="60">
        <v>43839</v>
      </c>
      <c r="W538" s="49" t="s">
        <v>4618</v>
      </c>
      <c r="X538" s="99">
        <v>1502</v>
      </c>
      <c r="Y538" s="99" t="s">
        <v>52</v>
      </c>
      <c r="Z538" s="99" t="s">
        <v>172</v>
      </c>
      <c r="AA538" s="38" t="s">
        <v>125</v>
      </c>
      <c r="AB538" s="38" t="s">
        <v>434</v>
      </c>
      <c r="AC538" s="45"/>
      <c r="AD538" s="7"/>
      <c r="AE538" s="7"/>
      <c r="AF538" s="46" t="str">
        <f>IF(R538="","",RIGHT(R538,LEN(R538)-FIND("@",R538)))</f>
        <v>gmail.com</v>
      </c>
      <c r="AG538" s="47">
        <f>LEN(R538)-LEN(SUBSTITUTE(R538," ",""))</f>
        <v>0</v>
      </c>
      <c r="AH538" s="46" t="str">
        <f>SUBSTITUTE(R538," ","")</f>
        <v>nurainisiti625@gmail.com</v>
      </c>
      <c r="AI538" s="46">
        <f>LEN(AH538)-LEN(SUBSTITUTE(AH538," ",""))</f>
        <v>0</v>
      </c>
    </row>
    <row r="539" spans="1:35" x14ac:dyDescent="0.25">
      <c r="A539" s="36">
        <v>532</v>
      </c>
      <c r="B539" s="53" t="s">
        <v>4619</v>
      </c>
      <c r="C539" s="54" t="s">
        <v>57</v>
      </c>
      <c r="D539" s="55">
        <v>36530</v>
      </c>
      <c r="E539" s="54" t="s">
        <v>95</v>
      </c>
      <c r="F539" s="53"/>
      <c r="G539" s="54" t="s">
        <v>4620</v>
      </c>
      <c r="H539" s="54"/>
      <c r="I539" s="54"/>
      <c r="J539" s="54"/>
      <c r="K539" s="54"/>
      <c r="L539" s="54"/>
      <c r="M539" s="54" t="s">
        <v>99</v>
      </c>
      <c r="N539" s="54"/>
      <c r="O539" s="54"/>
      <c r="P539" s="54"/>
      <c r="Q539" s="54" t="s">
        <v>4621</v>
      </c>
      <c r="R539" s="57" t="s">
        <v>74</v>
      </c>
      <c r="S539" s="54" t="s">
        <v>4622</v>
      </c>
      <c r="T539" s="54"/>
      <c r="U539" s="54" t="s">
        <v>4623</v>
      </c>
      <c r="V539" s="72">
        <v>43839</v>
      </c>
      <c r="W539" s="102"/>
      <c r="X539" s="102"/>
      <c r="Y539" s="102" t="s">
        <v>85</v>
      </c>
      <c r="Z539" s="102" t="s">
        <v>172</v>
      </c>
      <c r="AA539" s="54" t="s">
        <v>125</v>
      </c>
      <c r="AB539" s="54" t="s">
        <v>434</v>
      </c>
      <c r="AC539" s="58">
        <v>43876</v>
      </c>
      <c r="AD539" s="7"/>
      <c r="AE539" s="46"/>
      <c r="AF539" s="46"/>
      <c r="AG539" s="46"/>
      <c r="AH539" s="46"/>
      <c r="AI539" s="46"/>
    </row>
    <row r="540" spans="1:35" x14ac:dyDescent="0.25">
      <c r="A540" s="36">
        <v>533</v>
      </c>
      <c r="B540" s="37" t="s">
        <v>4624</v>
      </c>
      <c r="C540" s="38" t="s">
        <v>4625</v>
      </c>
      <c r="D540" s="39">
        <v>36662</v>
      </c>
      <c r="E540" s="38" t="s">
        <v>40</v>
      </c>
      <c r="F540" s="40" t="s">
        <v>48</v>
      </c>
      <c r="G540" s="38" t="s">
        <v>4626</v>
      </c>
      <c r="H540" s="38" t="s">
        <v>113</v>
      </c>
      <c r="I540" s="38" t="s">
        <v>114</v>
      </c>
      <c r="J540" s="41" t="s">
        <v>4627</v>
      </c>
      <c r="K540" s="41"/>
      <c r="L540" s="43"/>
      <c r="M540" s="38" t="s">
        <v>99</v>
      </c>
      <c r="N540" s="43" t="s">
        <v>4628</v>
      </c>
      <c r="O540" s="43" t="s">
        <v>76</v>
      </c>
      <c r="P540" s="41" t="s">
        <v>4629</v>
      </c>
      <c r="Q540" s="41"/>
      <c r="R540" s="50" t="s">
        <v>4630</v>
      </c>
      <c r="S540" s="38" t="s">
        <v>4631</v>
      </c>
      <c r="T540" s="38"/>
      <c r="U540" s="38"/>
      <c r="V540" s="60">
        <v>43847</v>
      </c>
      <c r="W540" s="49" t="s">
        <v>4632</v>
      </c>
      <c r="X540" s="99">
        <v>1504</v>
      </c>
      <c r="Y540" s="99" t="s">
        <v>52</v>
      </c>
      <c r="Z540" s="99" t="s">
        <v>1816</v>
      </c>
      <c r="AA540" s="99" t="s">
        <v>777</v>
      </c>
      <c r="AB540" s="38" t="s">
        <v>778</v>
      </c>
      <c r="AC540" s="45"/>
      <c r="AD540" s="7"/>
      <c r="AE540" s="7"/>
      <c r="AF540" s="46" t="str">
        <f>IF(R540="","",RIGHT(R540,LEN(R540)-FIND("@",R540)))</f>
        <v>gmail.com</v>
      </c>
      <c r="AG540" s="47">
        <f>LEN(R540)-LEN(SUBSTITUTE(R540," ",""))</f>
        <v>0</v>
      </c>
      <c r="AH540" s="46" t="str">
        <f>SUBSTITUTE(R540," ","")</f>
        <v>andikwijanarko209@gmail.com</v>
      </c>
      <c r="AI540" s="46">
        <f>LEN(AH540)-LEN(SUBSTITUTE(AH540," ",""))</f>
        <v>0</v>
      </c>
    </row>
    <row r="541" spans="1:35" x14ac:dyDescent="0.25">
      <c r="A541" s="36">
        <v>534</v>
      </c>
      <c r="B541" s="37" t="s">
        <v>4633</v>
      </c>
      <c r="C541" s="38" t="s">
        <v>4634</v>
      </c>
      <c r="D541" s="39">
        <v>33126</v>
      </c>
      <c r="E541" s="38" t="s">
        <v>40</v>
      </c>
      <c r="F541" s="40" t="s">
        <v>48</v>
      </c>
      <c r="G541" s="38" t="s">
        <v>4635</v>
      </c>
      <c r="H541" s="38" t="s">
        <v>43</v>
      </c>
      <c r="I541" s="38" t="s">
        <v>114</v>
      </c>
      <c r="J541" s="43" t="s">
        <v>4636</v>
      </c>
      <c r="K541" s="43" t="s">
        <v>4637</v>
      </c>
      <c r="L541" s="41"/>
      <c r="M541" s="38" t="s">
        <v>99</v>
      </c>
      <c r="N541" s="43" t="s">
        <v>48</v>
      </c>
      <c r="O541" s="43"/>
      <c r="P541" s="63" t="s">
        <v>4638</v>
      </c>
      <c r="Q541" s="43" t="s">
        <v>4639</v>
      </c>
      <c r="R541" s="50" t="s">
        <v>4640</v>
      </c>
      <c r="S541" s="38" t="s">
        <v>4641</v>
      </c>
      <c r="T541" s="38"/>
      <c r="U541" s="38"/>
      <c r="V541" s="60">
        <v>43850</v>
      </c>
      <c r="W541" s="49" t="s">
        <v>4642</v>
      </c>
      <c r="X541" s="99">
        <v>1505</v>
      </c>
      <c r="Y541" s="99" t="s">
        <v>52</v>
      </c>
      <c r="Z541" s="99" t="s">
        <v>156</v>
      </c>
      <c r="AA541" s="38" t="s">
        <v>125</v>
      </c>
      <c r="AB541" s="38" t="s">
        <v>126</v>
      </c>
      <c r="AC541" s="45"/>
      <c r="AD541" s="7"/>
      <c r="AE541" s="7"/>
      <c r="AF541" s="46" t="str">
        <f>IF(R541="","",RIGHT(R541,LEN(R541)-FIND("@",R541)))</f>
        <v>gmail.com</v>
      </c>
      <c r="AG541" s="47">
        <f>LEN(R541)-LEN(SUBSTITUTE(R541," ",""))</f>
        <v>0</v>
      </c>
      <c r="AH541" s="46" t="str">
        <f>SUBSTITUTE(R541," ","")</f>
        <v>pratama.po0etra@gmail.com</v>
      </c>
      <c r="AI541" s="46">
        <f>LEN(AH541)-LEN(SUBSTITUTE(AH541," ",""))</f>
        <v>0</v>
      </c>
    </row>
    <row r="542" spans="1:35" x14ac:dyDescent="0.25">
      <c r="A542" s="36">
        <v>535</v>
      </c>
      <c r="B542" s="37" t="s">
        <v>4643</v>
      </c>
      <c r="C542" s="38" t="s">
        <v>4644</v>
      </c>
      <c r="D542" s="39">
        <v>35241</v>
      </c>
      <c r="E542" s="38" t="s">
        <v>95</v>
      </c>
      <c r="F542" s="40" t="s">
        <v>48</v>
      </c>
      <c r="G542" s="38" t="s">
        <v>4645</v>
      </c>
      <c r="H542" s="38" t="s">
        <v>43</v>
      </c>
      <c r="I542" s="38" t="s">
        <v>114</v>
      </c>
      <c r="J542" s="40" t="s">
        <v>4646</v>
      </c>
      <c r="K542" s="40"/>
      <c r="L542" s="40"/>
      <c r="M542" s="38" t="s">
        <v>99</v>
      </c>
      <c r="N542" s="43" t="s">
        <v>4647</v>
      </c>
      <c r="O542" s="43" t="s">
        <v>76</v>
      </c>
      <c r="P542" s="63" t="s">
        <v>4648</v>
      </c>
      <c r="Q542" s="40" t="s">
        <v>4649</v>
      </c>
      <c r="R542" s="50" t="s">
        <v>4650</v>
      </c>
      <c r="S542" s="38" t="s">
        <v>4651</v>
      </c>
      <c r="T542" s="38"/>
      <c r="U542" s="40"/>
      <c r="V542" s="60">
        <v>43853</v>
      </c>
      <c r="W542" s="49" t="s">
        <v>4652</v>
      </c>
      <c r="X542" s="99">
        <v>1506</v>
      </c>
      <c r="Y542" s="99" t="s">
        <v>52</v>
      </c>
      <c r="Z542" s="99" t="s">
        <v>396</v>
      </c>
      <c r="AA542" s="38" t="s">
        <v>125</v>
      </c>
      <c r="AB542" s="38" t="s">
        <v>126</v>
      </c>
      <c r="AC542" s="45"/>
      <c r="AD542" s="7"/>
      <c r="AE542" s="7"/>
      <c r="AF542" s="46" t="str">
        <f>IF(R542="","",RIGHT(R542,LEN(R542)-FIND("@",R542)))</f>
        <v>gmail.com</v>
      </c>
      <c r="AG542" s="47">
        <f>LEN(R542)-LEN(SUBSTITUTE(R542," ",""))</f>
        <v>0</v>
      </c>
      <c r="AH542" s="46" t="str">
        <f>SUBSTITUTE(R542," ","")</f>
        <v>astutisiama031@gmail.com</v>
      </c>
      <c r="AI542" s="46">
        <f>LEN(AH542)-LEN(SUBSTITUTE(AH542," ",""))</f>
        <v>0</v>
      </c>
    </row>
    <row r="543" spans="1:35" x14ac:dyDescent="0.25">
      <c r="A543" s="48">
        <v>536</v>
      </c>
      <c r="B543" s="37" t="s">
        <v>4653</v>
      </c>
      <c r="C543" s="38" t="s">
        <v>3094</v>
      </c>
      <c r="D543" s="39">
        <v>35147</v>
      </c>
      <c r="E543" s="38" t="s">
        <v>40</v>
      </c>
      <c r="F543" s="40" t="s">
        <v>48</v>
      </c>
      <c r="G543" s="38" t="s">
        <v>4654</v>
      </c>
      <c r="H543" s="38" t="s">
        <v>113</v>
      </c>
      <c r="I543" s="38" t="s">
        <v>114</v>
      </c>
      <c r="J543" s="40" t="s">
        <v>4655</v>
      </c>
      <c r="K543" s="40" t="s">
        <v>4656</v>
      </c>
      <c r="L543" s="40"/>
      <c r="M543" s="38" t="s">
        <v>99</v>
      </c>
      <c r="N543" s="43" t="s">
        <v>4657</v>
      </c>
      <c r="O543" s="43" t="s">
        <v>428</v>
      </c>
      <c r="P543" s="63" t="s">
        <v>4658</v>
      </c>
      <c r="Q543" s="40"/>
      <c r="R543" s="50" t="s">
        <v>4659</v>
      </c>
      <c r="S543" s="38" t="s">
        <v>4660</v>
      </c>
      <c r="T543" s="38"/>
      <c r="U543" s="40"/>
      <c r="V543" s="60">
        <v>43860</v>
      </c>
      <c r="W543" s="49" t="s">
        <v>4661</v>
      </c>
      <c r="X543" s="99">
        <v>1508</v>
      </c>
      <c r="Y543" s="99" t="s">
        <v>52</v>
      </c>
      <c r="Z543" s="99" t="s">
        <v>3610</v>
      </c>
      <c r="AA543" s="38" t="s">
        <v>125</v>
      </c>
      <c r="AB543" s="38" t="s">
        <v>382</v>
      </c>
      <c r="AC543" s="45"/>
      <c r="AD543" s="7"/>
      <c r="AE543" s="7"/>
      <c r="AF543" s="46" t="str">
        <f>IF(R543="","",RIGHT(R543,LEN(R543)-FIND("@",R543)))</f>
        <v>gmail.com</v>
      </c>
      <c r="AG543" s="47">
        <f>LEN(R543)-LEN(SUBSTITUTE(R543," ",""))</f>
        <v>0</v>
      </c>
      <c r="AH543" s="46" t="str">
        <f>SUBSTITUTE(R543," ","")</f>
        <v>mamansemet96@gmail.com</v>
      </c>
      <c r="AI543" s="46">
        <f>LEN(AH543)-LEN(SUBSTITUTE(AH543," ",""))</f>
        <v>0</v>
      </c>
    </row>
    <row r="544" spans="1:35" x14ac:dyDescent="0.25">
      <c r="A544" s="36">
        <v>537</v>
      </c>
      <c r="B544" s="53" t="s">
        <v>4662</v>
      </c>
      <c r="C544" s="54" t="s">
        <v>4663</v>
      </c>
      <c r="D544" s="55">
        <v>34335</v>
      </c>
      <c r="E544" s="54" t="s">
        <v>40</v>
      </c>
      <c r="F544" s="53"/>
      <c r="G544" s="54" t="s">
        <v>4664</v>
      </c>
      <c r="H544" s="54"/>
      <c r="I544" s="54"/>
      <c r="J544" s="54" t="s">
        <v>4665</v>
      </c>
      <c r="K544" s="54"/>
      <c r="L544" s="54"/>
      <c r="M544" s="54"/>
      <c r="N544" s="54"/>
      <c r="O544" s="54"/>
      <c r="P544" s="54"/>
      <c r="Q544" s="54" t="s">
        <v>4666</v>
      </c>
      <c r="R544" s="57" t="s">
        <v>74</v>
      </c>
      <c r="S544" s="54" t="s">
        <v>4667</v>
      </c>
      <c r="T544" s="54"/>
      <c r="U544" s="54" t="s">
        <v>4668</v>
      </c>
      <c r="V544" s="72">
        <v>43860</v>
      </c>
      <c r="W544" s="102"/>
      <c r="X544" s="102"/>
      <c r="Y544" s="102" t="s">
        <v>85</v>
      </c>
      <c r="Z544" s="102" t="s">
        <v>396</v>
      </c>
      <c r="AA544" s="102" t="s">
        <v>4015</v>
      </c>
      <c r="AB544" s="54" t="s">
        <v>500</v>
      </c>
      <c r="AC544" s="58">
        <v>43901</v>
      </c>
      <c r="AD544" s="7"/>
      <c r="AE544" s="46"/>
      <c r="AF544" s="46"/>
      <c r="AG544" s="46"/>
      <c r="AH544" s="46"/>
      <c r="AI544" s="46"/>
    </row>
    <row r="545" spans="1:35" x14ac:dyDescent="0.25">
      <c r="A545" s="36">
        <v>538</v>
      </c>
      <c r="B545" s="37" t="s">
        <v>4669</v>
      </c>
      <c r="C545" s="38" t="s">
        <v>4670</v>
      </c>
      <c r="D545" s="39">
        <v>36515</v>
      </c>
      <c r="E545" s="38" t="s">
        <v>95</v>
      </c>
      <c r="F545" s="40" t="s">
        <v>48</v>
      </c>
      <c r="G545" s="38" t="s">
        <v>4671</v>
      </c>
      <c r="H545" s="38" t="s">
        <v>113</v>
      </c>
      <c r="I545" s="38" t="s">
        <v>114</v>
      </c>
      <c r="J545" s="40" t="s">
        <v>4672</v>
      </c>
      <c r="K545" s="40" t="s">
        <v>4673</v>
      </c>
      <c r="L545" s="40"/>
      <c r="M545" s="38" t="s">
        <v>99</v>
      </c>
      <c r="N545" s="43" t="s">
        <v>4674</v>
      </c>
      <c r="O545" s="43" t="s">
        <v>76</v>
      </c>
      <c r="P545" s="63" t="s">
        <v>4675</v>
      </c>
      <c r="Q545" s="40"/>
      <c r="R545" s="50" t="s">
        <v>4676</v>
      </c>
      <c r="S545" s="38" t="s">
        <v>4677</v>
      </c>
      <c r="T545" s="38"/>
      <c r="U545" s="40"/>
      <c r="V545" s="60">
        <v>43862</v>
      </c>
      <c r="W545" s="49" t="s">
        <v>4678</v>
      </c>
      <c r="X545" s="99">
        <v>1509</v>
      </c>
      <c r="Y545" s="99" t="s">
        <v>52</v>
      </c>
      <c r="Z545" s="99" t="s">
        <v>4679</v>
      </c>
      <c r="AA545" s="99" t="s">
        <v>82</v>
      </c>
      <c r="AB545" s="38" t="s">
        <v>55</v>
      </c>
      <c r="AC545" s="45"/>
      <c r="AD545" s="7"/>
      <c r="AE545" s="7"/>
      <c r="AF545" s="46" t="str">
        <f>IF(R545="","",RIGHT(R545,LEN(R545)-FIND("@",R545)))</f>
        <v>gmail.com</v>
      </c>
      <c r="AG545" s="47">
        <f>LEN(R545)-LEN(SUBSTITUTE(R545," ",""))</f>
        <v>0</v>
      </c>
      <c r="AH545" s="46" t="str">
        <f>SUBSTITUTE(R545," ","")</f>
        <v>serisusilawati501@gmail.com</v>
      </c>
      <c r="AI545" s="46">
        <f>LEN(AH545)-LEN(SUBSTITUTE(AH545," ",""))</f>
        <v>0</v>
      </c>
    </row>
    <row r="546" spans="1:35" x14ac:dyDescent="0.25">
      <c r="A546" s="36">
        <v>539</v>
      </c>
      <c r="B546" s="53" t="s">
        <v>4680</v>
      </c>
      <c r="C546" s="54" t="s">
        <v>4681</v>
      </c>
      <c r="D546" s="55">
        <v>36649</v>
      </c>
      <c r="E546" s="54" t="s">
        <v>95</v>
      </c>
      <c r="F546" s="53"/>
      <c r="G546" s="54" t="s">
        <v>4682</v>
      </c>
      <c r="H546" s="54"/>
      <c r="I546" s="54"/>
      <c r="J546" s="54" t="s">
        <v>4683</v>
      </c>
      <c r="K546" s="54"/>
      <c r="L546" s="54"/>
      <c r="M546" s="54" t="s">
        <v>99</v>
      </c>
      <c r="N546" s="54"/>
      <c r="O546" s="54"/>
      <c r="P546" s="54"/>
      <c r="Q546" s="54" t="s">
        <v>4684</v>
      </c>
      <c r="R546" s="57" t="s">
        <v>74</v>
      </c>
      <c r="S546" s="54" t="s">
        <v>4685</v>
      </c>
      <c r="T546" s="54"/>
      <c r="U546" s="54" t="s">
        <v>4686</v>
      </c>
      <c r="V546" s="55">
        <v>43864</v>
      </c>
      <c r="W546" s="54"/>
      <c r="X546" s="54"/>
      <c r="Y546" s="54" t="s">
        <v>85</v>
      </c>
      <c r="Z546" s="54" t="s">
        <v>172</v>
      </c>
      <c r="AA546" s="54" t="str">
        <f>$AA$486</f>
        <v>Office</v>
      </c>
      <c r="AB546" s="54" t="s">
        <v>55</v>
      </c>
      <c r="AC546" s="58">
        <v>43921</v>
      </c>
      <c r="AD546" s="7"/>
      <c r="AE546" s="46"/>
      <c r="AF546" s="46"/>
      <c r="AG546" s="46"/>
      <c r="AH546" s="46"/>
      <c r="AI546" s="46"/>
    </row>
    <row r="547" spans="1:35" x14ac:dyDescent="0.25">
      <c r="A547" s="36">
        <v>540</v>
      </c>
      <c r="B547" s="53" t="s">
        <v>4687</v>
      </c>
      <c r="C547" s="54" t="s">
        <v>4688</v>
      </c>
      <c r="D547" s="55">
        <v>35393</v>
      </c>
      <c r="E547" s="54" t="s">
        <v>95</v>
      </c>
      <c r="F547" s="53"/>
      <c r="G547" s="54" t="s">
        <v>4689</v>
      </c>
      <c r="H547" s="54"/>
      <c r="I547" s="54"/>
      <c r="J547" s="54" t="s">
        <v>4690</v>
      </c>
      <c r="K547" s="54"/>
      <c r="L547" s="54"/>
      <c r="M547" s="54" t="s">
        <v>99</v>
      </c>
      <c r="N547" s="54"/>
      <c r="O547" s="54"/>
      <c r="P547" s="54"/>
      <c r="Q547" s="54" t="s">
        <v>4691</v>
      </c>
      <c r="R547" s="57" t="s">
        <v>74</v>
      </c>
      <c r="S547" s="54" t="s">
        <v>4692</v>
      </c>
      <c r="T547" s="54"/>
      <c r="U547" s="54" t="s">
        <v>4693</v>
      </c>
      <c r="V547" s="55">
        <v>43871</v>
      </c>
      <c r="W547" s="54"/>
      <c r="X547" s="54"/>
      <c r="Y547" s="54" t="s">
        <v>85</v>
      </c>
      <c r="Z547" s="54" t="s">
        <v>172</v>
      </c>
      <c r="AA547" s="54" t="s">
        <v>125</v>
      </c>
      <c r="AB547" s="54" t="s">
        <v>126</v>
      </c>
      <c r="AC547" s="58">
        <v>43920</v>
      </c>
      <c r="AD547" s="7"/>
      <c r="AE547" s="46"/>
      <c r="AF547" s="46"/>
      <c r="AG547" s="46"/>
      <c r="AH547" s="46"/>
      <c r="AI547" s="46"/>
    </row>
    <row r="548" spans="1:35" x14ac:dyDescent="0.25">
      <c r="A548" s="36">
        <v>541</v>
      </c>
      <c r="B548" s="37" t="s">
        <v>4694</v>
      </c>
      <c r="C548" s="38" t="s">
        <v>548</v>
      </c>
      <c r="D548" s="39">
        <v>34841</v>
      </c>
      <c r="E548" s="38" t="s">
        <v>40</v>
      </c>
      <c r="F548" s="40" t="s">
        <v>48</v>
      </c>
      <c r="G548" s="38" t="s">
        <v>4695</v>
      </c>
      <c r="H548" s="38" t="s">
        <v>113</v>
      </c>
      <c r="I548" s="38" t="s">
        <v>114</v>
      </c>
      <c r="J548" s="40" t="s">
        <v>4696</v>
      </c>
      <c r="K548" s="40"/>
      <c r="L548" s="43"/>
      <c r="M548" s="38" t="s">
        <v>99</v>
      </c>
      <c r="N548" s="43" t="s">
        <v>4697</v>
      </c>
      <c r="O548" s="43" t="s">
        <v>76</v>
      </c>
      <c r="P548" s="110">
        <v>20044812814</v>
      </c>
      <c r="Q548" s="40" t="s">
        <v>4698</v>
      </c>
      <c r="R548" s="50" t="s">
        <v>4699</v>
      </c>
      <c r="S548" s="38" t="s">
        <v>4700</v>
      </c>
      <c r="T548" s="38"/>
      <c r="U548" s="40"/>
      <c r="V548" s="60">
        <v>43873</v>
      </c>
      <c r="W548" s="49" t="s">
        <v>4701</v>
      </c>
      <c r="X548" s="99">
        <v>1513</v>
      </c>
      <c r="Y548" s="99" t="s">
        <v>52</v>
      </c>
      <c r="Z548" s="99" t="s">
        <v>156</v>
      </c>
      <c r="AA548" s="38" t="s">
        <v>125</v>
      </c>
      <c r="AB548" s="38" t="s">
        <v>341</v>
      </c>
      <c r="AC548" s="45"/>
      <c r="AD548" s="7"/>
      <c r="AE548" s="7"/>
      <c r="AF548" s="46" t="str">
        <f>IF(R548="","",RIGHT(R548,LEN(R548)-FIND("@",R548)))</f>
        <v>gmail.com</v>
      </c>
      <c r="AG548" s="47">
        <f>LEN(R548)-LEN(SUBSTITUTE(R548," ",""))</f>
        <v>0</v>
      </c>
      <c r="AH548" s="46" t="str">
        <f>SUBSTITUTE(R548," ","")</f>
        <v>manzilah70@gmail.com</v>
      </c>
      <c r="AI548" s="46">
        <f>LEN(AH548)-LEN(SUBSTITUTE(AH548," ",""))</f>
        <v>0</v>
      </c>
    </row>
    <row r="549" spans="1:35" x14ac:dyDescent="0.25">
      <c r="A549" s="48">
        <v>542</v>
      </c>
      <c r="B549" s="37" t="s">
        <v>4702</v>
      </c>
      <c r="C549" s="38" t="s">
        <v>4703</v>
      </c>
      <c r="D549" s="39">
        <v>34074</v>
      </c>
      <c r="E549" s="38" t="s">
        <v>95</v>
      </c>
      <c r="F549" s="40" t="s">
        <v>48</v>
      </c>
      <c r="G549" s="38" t="s">
        <v>4704</v>
      </c>
      <c r="H549" s="38" t="s">
        <v>43</v>
      </c>
      <c r="I549" s="38" t="s">
        <v>114</v>
      </c>
      <c r="J549" s="40" t="s">
        <v>4705</v>
      </c>
      <c r="K549" s="40"/>
      <c r="L549" s="40"/>
      <c r="M549" s="38" t="s">
        <v>99</v>
      </c>
      <c r="N549" s="43" t="s">
        <v>48</v>
      </c>
      <c r="O549" s="43"/>
      <c r="P549" s="40" t="s">
        <v>4706</v>
      </c>
      <c r="Q549" s="40" t="s">
        <v>4707</v>
      </c>
      <c r="R549" s="50" t="s">
        <v>4708</v>
      </c>
      <c r="S549" s="38" t="s">
        <v>4709</v>
      </c>
      <c r="T549" s="38"/>
      <c r="U549" s="40"/>
      <c r="V549" s="52">
        <v>43878</v>
      </c>
      <c r="W549" s="41" t="s">
        <v>4710</v>
      </c>
      <c r="X549" s="38">
        <v>1514</v>
      </c>
      <c r="Y549" s="38" t="s">
        <v>52</v>
      </c>
      <c r="Z549" s="38" t="s">
        <v>172</v>
      </c>
      <c r="AA549" s="38" t="s">
        <v>125</v>
      </c>
      <c r="AB549" s="38" t="s">
        <v>3949</v>
      </c>
      <c r="AC549" s="45"/>
      <c r="AD549" s="7"/>
      <c r="AE549" s="7"/>
      <c r="AF549" s="46" t="str">
        <f>IF(R549="","",RIGHT(R549,LEN(R549)-FIND("@",R549)))</f>
        <v>gmail.com</v>
      </c>
      <c r="AG549" s="47">
        <f>LEN(R549)-LEN(SUBSTITUTE(R549," ",""))</f>
        <v>0</v>
      </c>
      <c r="AH549" s="46" t="str">
        <f>SUBSTITUTE(R549," ","")</f>
        <v>melda049315@gmail.com</v>
      </c>
      <c r="AI549" s="46">
        <f>LEN(AH549)-LEN(SUBSTITUTE(AH549," ",""))</f>
        <v>0</v>
      </c>
    </row>
    <row r="550" spans="1:35" x14ac:dyDescent="0.25">
      <c r="A550" s="36">
        <v>543</v>
      </c>
      <c r="B550" s="37" t="s">
        <v>4711</v>
      </c>
      <c r="C550" s="38" t="s">
        <v>4634</v>
      </c>
      <c r="D550" s="39">
        <v>36311</v>
      </c>
      <c r="E550" s="38" t="s">
        <v>40</v>
      </c>
      <c r="F550" s="40" t="s">
        <v>48</v>
      </c>
      <c r="G550" s="38" t="s">
        <v>4712</v>
      </c>
      <c r="H550" s="38" t="s">
        <v>113</v>
      </c>
      <c r="I550" s="38" t="s">
        <v>114</v>
      </c>
      <c r="J550" s="40" t="s">
        <v>4713</v>
      </c>
      <c r="K550" s="40" t="s">
        <v>4714</v>
      </c>
      <c r="L550" s="40"/>
      <c r="M550" s="38" t="s">
        <v>99</v>
      </c>
      <c r="N550" s="43" t="s">
        <v>4715</v>
      </c>
      <c r="O550" s="43" t="s">
        <v>164</v>
      </c>
      <c r="P550" s="89" t="s">
        <v>4716</v>
      </c>
      <c r="Q550" s="40" t="s">
        <v>4717</v>
      </c>
      <c r="R550" s="50" t="s">
        <v>4718</v>
      </c>
      <c r="S550" s="38" t="s">
        <v>4719</v>
      </c>
      <c r="T550" s="38"/>
      <c r="U550" s="40"/>
      <c r="V550" s="52">
        <v>43878</v>
      </c>
      <c r="W550" s="41" t="s">
        <v>4720</v>
      </c>
      <c r="X550" s="38">
        <v>1515</v>
      </c>
      <c r="Y550" s="38" t="s">
        <v>52</v>
      </c>
      <c r="Z550" s="38" t="s">
        <v>156</v>
      </c>
      <c r="AA550" s="38" t="s">
        <v>125</v>
      </c>
      <c r="AB550" s="38" t="s">
        <v>126</v>
      </c>
      <c r="AC550" s="45"/>
      <c r="AD550" s="7"/>
      <c r="AE550" s="7"/>
      <c r="AF550" s="46" t="str">
        <f>IF(R550="","",RIGHT(R550,LEN(R550)-FIND("@",R550)))</f>
        <v>gmail.com</v>
      </c>
      <c r="AG550" s="47">
        <f>LEN(R550)-LEN(SUBSTITUTE(R550," ",""))</f>
        <v>0</v>
      </c>
      <c r="AH550" s="46" t="str">
        <f>SUBSTITUTE(R550," ","")</f>
        <v>fauzanmbpc81@gmail.com</v>
      </c>
      <c r="AI550" s="46">
        <f>LEN(AH550)-LEN(SUBSTITUTE(AH550," ",""))</f>
        <v>0</v>
      </c>
    </row>
    <row r="551" spans="1:35" x14ac:dyDescent="0.25">
      <c r="A551" s="36">
        <v>544</v>
      </c>
      <c r="B551" s="37" t="s">
        <v>4721</v>
      </c>
      <c r="C551" s="38" t="s">
        <v>365</v>
      </c>
      <c r="D551" s="39">
        <v>36846</v>
      </c>
      <c r="E551" s="38" t="s">
        <v>40</v>
      </c>
      <c r="F551" s="40" t="s">
        <v>48</v>
      </c>
      <c r="G551" s="38" t="s">
        <v>4722</v>
      </c>
      <c r="H551" s="38" t="s">
        <v>113</v>
      </c>
      <c r="I551" s="38" t="s">
        <v>114</v>
      </c>
      <c r="J551" s="40" t="s">
        <v>4723</v>
      </c>
      <c r="K551" s="40"/>
      <c r="L551" s="40"/>
      <c r="M551" s="38" t="s">
        <v>99</v>
      </c>
      <c r="N551" s="43" t="s">
        <v>48</v>
      </c>
      <c r="O551" s="43"/>
      <c r="P551" s="89" t="s">
        <v>4716</v>
      </c>
      <c r="Q551" s="40" t="s">
        <v>4724</v>
      </c>
      <c r="R551" s="50" t="s">
        <v>4725</v>
      </c>
      <c r="S551" s="38" t="s">
        <v>4726</v>
      </c>
      <c r="T551" s="38"/>
      <c r="U551" s="40"/>
      <c r="V551" s="52">
        <v>43878</v>
      </c>
      <c r="W551" s="41" t="s">
        <v>4727</v>
      </c>
      <c r="X551" s="38">
        <v>1516</v>
      </c>
      <c r="Y551" s="38" t="s">
        <v>52</v>
      </c>
      <c r="Z551" s="38" t="s">
        <v>156</v>
      </c>
      <c r="AA551" s="38" t="s">
        <v>125</v>
      </c>
      <c r="AB551" s="38" t="s">
        <v>3949</v>
      </c>
      <c r="AC551" s="45"/>
      <c r="AD551" s="7"/>
      <c r="AE551" s="7"/>
      <c r="AF551" s="46"/>
      <c r="AG551" s="47"/>
      <c r="AH551" s="46"/>
      <c r="AI551" s="46"/>
    </row>
    <row r="552" spans="1:35" x14ac:dyDescent="0.25">
      <c r="A552" s="36">
        <v>545</v>
      </c>
      <c r="B552" s="37" t="s">
        <v>4728</v>
      </c>
      <c r="C552" s="38" t="s">
        <v>57</v>
      </c>
      <c r="D552" s="39">
        <v>35571</v>
      </c>
      <c r="E552" s="38" t="s">
        <v>95</v>
      </c>
      <c r="F552" s="40" t="s">
        <v>48</v>
      </c>
      <c r="G552" s="38" t="s">
        <v>4729</v>
      </c>
      <c r="H552" s="38" t="s">
        <v>113</v>
      </c>
      <c r="I552" s="38" t="s">
        <v>114</v>
      </c>
      <c r="J552" s="40" t="s">
        <v>4730</v>
      </c>
      <c r="K552" s="40"/>
      <c r="L552" s="40"/>
      <c r="M552" s="38" t="s">
        <v>99</v>
      </c>
      <c r="N552" s="43" t="s">
        <v>48</v>
      </c>
      <c r="O552" s="43"/>
      <c r="P552" s="89">
        <v>20044812806</v>
      </c>
      <c r="Q552" s="40"/>
      <c r="R552" s="50" t="s">
        <v>4731</v>
      </c>
      <c r="S552" s="38" t="s">
        <v>4732</v>
      </c>
      <c r="T552" s="38"/>
      <c r="U552" s="40"/>
      <c r="V552" s="52">
        <v>43879</v>
      </c>
      <c r="W552" s="41" t="s">
        <v>4733</v>
      </c>
      <c r="X552" s="38">
        <v>1517</v>
      </c>
      <c r="Y552" s="38" t="s">
        <v>52</v>
      </c>
      <c r="Z552" s="38" t="s">
        <v>172</v>
      </c>
      <c r="AA552" s="38" t="s">
        <v>125</v>
      </c>
      <c r="AB552" s="38" t="s">
        <v>434</v>
      </c>
      <c r="AC552" s="45"/>
      <c r="AD552" s="7"/>
      <c r="AE552" s="7"/>
      <c r="AF552" s="46"/>
      <c r="AG552" s="47"/>
      <c r="AH552" s="46"/>
      <c r="AI552" s="46"/>
    </row>
    <row r="553" spans="1:35" x14ac:dyDescent="0.25">
      <c r="A553" s="36">
        <v>546</v>
      </c>
      <c r="B553" s="53" t="s">
        <v>4734</v>
      </c>
      <c r="C553" s="54" t="s">
        <v>4735</v>
      </c>
      <c r="D553" s="55">
        <v>32672</v>
      </c>
      <c r="E553" s="54" t="s">
        <v>40</v>
      </c>
      <c r="F553" s="53"/>
      <c r="G553" s="54" t="s">
        <v>4736</v>
      </c>
      <c r="H553" s="54"/>
      <c r="I553" s="54"/>
      <c r="J553" s="54" t="s">
        <v>4737</v>
      </c>
      <c r="K553" s="54"/>
      <c r="L553" s="54"/>
      <c r="M553" s="54"/>
      <c r="N553" s="54"/>
      <c r="O553" s="54"/>
      <c r="P553" s="54"/>
      <c r="Q553" s="54" t="s">
        <v>4738</v>
      </c>
      <c r="R553" s="57" t="s">
        <v>74</v>
      </c>
      <c r="S553" s="54" t="s">
        <v>4739</v>
      </c>
      <c r="T553" s="54"/>
      <c r="U553" s="54" t="s">
        <v>4740</v>
      </c>
      <c r="V553" s="55">
        <v>43880</v>
      </c>
      <c r="W553" s="54"/>
      <c r="X553" s="54"/>
      <c r="Y553" s="54" t="s">
        <v>85</v>
      </c>
      <c r="Z553" s="54" t="s">
        <v>156</v>
      </c>
      <c r="AA553" s="54" t="s">
        <v>125</v>
      </c>
      <c r="AB553" s="54" t="s">
        <v>157</v>
      </c>
      <c r="AC553" s="58">
        <v>43886</v>
      </c>
      <c r="AD553" s="7"/>
      <c r="AE553" s="7"/>
      <c r="AF553" s="7"/>
      <c r="AG553" s="7"/>
      <c r="AH553" s="7"/>
      <c r="AI553" s="7"/>
    </row>
    <row r="554" spans="1:35" x14ac:dyDescent="0.25">
      <c r="A554" s="36">
        <v>547</v>
      </c>
      <c r="B554" s="37" t="s">
        <v>4741</v>
      </c>
      <c r="C554" s="38" t="s">
        <v>4742</v>
      </c>
      <c r="D554" s="39">
        <v>35820</v>
      </c>
      <c r="E554" s="38" t="s">
        <v>40</v>
      </c>
      <c r="F554" s="40" t="s">
        <v>48</v>
      </c>
      <c r="G554" s="38" t="s">
        <v>4743</v>
      </c>
      <c r="H554" s="38" t="s">
        <v>43</v>
      </c>
      <c r="I554" s="38" t="s">
        <v>114</v>
      </c>
      <c r="J554" s="40" t="s">
        <v>4744</v>
      </c>
      <c r="K554" s="40" t="s">
        <v>4745</v>
      </c>
      <c r="L554" s="43"/>
      <c r="M554" s="38" t="s">
        <v>99</v>
      </c>
      <c r="N554" s="43" t="s">
        <v>4746</v>
      </c>
      <c r="O554" s="43" t="s">
        <v>428</v>
      </c>
      <c r="P554" s="43" t="s">
        <v>48</v>
      </c>
      <c r="Q554" s="40"/>
      <c r="R554" s="50" t="s">
        <v>4747</v>
      </c>
      <c r="S554" s="38" t="s">
        <v>4748</v>
      </c>
      <c r="T554" s="38"/>
      <c r="U554" s="40"/>
      <c r="V554" s="52">
        <v>43893</v>
      </c>
      <c r="W554" s="41" t="s">
        <v>4749</v>
      </c>
      <c r="X554" s="38">
        <v>1518</v>
      </c>
      <c r="Y554" s="38" t="s">
        <v>52</v>
      </c>
      <c r="Z554" s="38" t="s">
        <v>1816</v>
      </c>
      <c r="AA554" s="38" t="s">
        <v>777</v>
      </c>
      <c r="AB554" s="38" t="s">
        <v>778</v>
      </c>
      <c r="AC554" s="45"/>
      <c r="AD554" s="7"/>
      <c r="AE554" s="7"/>
      <c r="AF554" s="46" t="str">
        <f>IF(R554="","",RIGHT(R554,LEN(R554)-FIND("@",R554)))</f>
        <v>gmail.com</v>
      </c>
      <c r="AG554" s="47">
        <f>LEN(R554)-LEN(SUBSTITUTE(R554," ",""))</f>
        <v>0</v>
      </c>
      <c r="AH554" s="46" t="str">
        <f>SUBSTITUTE(R554," ","")</f>
        <v>jemyarianto0@gmail.com</v>
      </c>
      <c r="AI554" s="46">
        <f>LEN(AH554)-LEN(SUBSTITUTE(AH554," ",""))</f>
        <v>0</v>
      </c>
    </row>
    <row r="555" spans="1:35" x14ac:dyDescent="0.25">
      <c r="A555" s="48">
        <v>548</v>
      </c>
      <c r="B555" s="37" t="s">
        <v>4750</v>
      </c>
      <c r="C555" s="38" t="s">
        <v>57</v>
      </c>
      <c r="D555" s="39">
        <v>36727</v>
      </c>
      <c r="E555" s="38" t="s">
        <v>40</v>
      </c>
      <c r="F555" s="40" t="s">
        <v>48</v>
      </c>
      <c r="G555" s="38" t="s">
        <v>4751</v>
      </c>
      <c r="H555" s="38" t="s">
        <v>113</v>
      </c>
      <c r="I555" s="38" t="s">
        <v>114</v>
      </c>
      <c r="J555" s="40" t="s">
        <v>4752</v>
      </c>
      <c r="K555" s="40"/>
      <c r="L555" s="40"/>
      <c r="M555" s="38" t="s">
        <v>99</v>
      </c>
      <c r="N555" s="43" t="s">
        <v>4753</v>
      </c>
      <c r="O555" s="43" t="s">
        <v>428</v>
      </c>
      <c r="P555" s="41" t="s">
        <v>4716</v>
      </c>
      <c r="Q555" s="40" t="s">
        <v>4754</v>
      </c>
      <c r="R555" s="50" t="s">
        <v>4755</v>
      </c>
      <c r="S555" s="38" t="s">
        <v>4756</v>
      </c>
      <c r="T555" s="38"/>
      <c r="U555" s="40"/>
      <c r="V555" s="52">
        <v>43895</v>
      </c>
      <c r="W555" s="41" t="s">
        <v>4757</v>
      </c>
      <c r="X555" s="38">
        <v>1519</v>
      </c>
      <c r="Y555" s="38" t="s">
        <v>52</v>
      </c>
      <c r="Z555" s="38" t="s">
        <v>156</v>
      </c>
      <c r="AA555" s="38" t="s">
        <v>125</v>
      </c>
      <c r="AB555" s="38" t="s">
        <v>434</v>
      </c>
      <c r="AC555" s="45"/>
      <c r="AD555" s="7"/>
      <c r="AE555" s="7"/>
      <c r="AF555" s="46" t="str">
        <f>IF(R555="","",RIGHT(R555,LEN(R555)-FIND("@",R555)))</f>
        <v>gmail.com</v>
      </c>
      <c r="AG555" s="47">
        <f>LEN(R555)-LEN(SUBSTITUTE(R555," ",""))</f>
        <v>0</v>
      </c>
      <c r="AH555" s="46" t="str">
        <f>SUBSTITUTE(R555," ","")</f>
        <v>putraanggaraelvintri@gmail.com</v>
      </c>
      <c r="AI555" s="46">
        <f>LEN(AH555)-LEN(SUBSTITUTE(AH555," ",""))</f>
        <v>0</v>
      </c>
    </row>
    <row r="556" spans="1:35" x14ac:dyDescent="0.25">
      <c r="A556" s="36">
        <v>549</v>
      </c>
      <c r="B556" s="37" t="s">
        <v>4758</v>
      </c>
      <c r="C556" s="38" t="s">
        <v>4759</v>
      </c>
      <c r="D556" s="39">
        <v>35764</v>
      </c>
      <c r="E556" s="38" t="s">
        <v>95</v>
      </c>
      <c r="F556" s="40" t="s">
        <v>48</v>
      </c>
      <c r="G556" s="38" t="s">
        <v>4760</v>
      </c>
      <c r="H556" s="38" t="s">
        <v>72</v>
      </c>
      <c r="I556" s="38" t="s">
        <v>114</v>
      </c>
      <c r="J556" s="40" t="s">
        <v>4761</v>
      </c>
      <c r="K556" s="40"/>
      <c r="L556" s="40"/>
      <c r="M556" s="38" t="s">
        <v>99</v>
      </c>
      <c r="N556" s="43" t="s">
        <v>48</v>
      </c>
      <c r="O556" s="43"/>
      <c r="P556" s="41" t="s">
        <v>4716</v>
      </c>
      <c r="Q556" s="40" t="s">
        <v>4762</v>
      </c>
      <c r="R556" s="50" t="s">
        <v>4763</v>
      </c>
      <c r="S556" s="38" t="s">
        <v>4764</v>
      </c>
      <c r="T556" s="38"/>
      <c r="U556" s="40"/>
      <c r="V556" s="52">
        <v>43899</v>
      </c>
      <c r="W556" s="41" t="s">
        <v>4765</v>
      </c>
      <c r="X556" s="38">
        <v>1520</v>
      </c>
      <c r="Y556" s="38" t="s">
        <v>52</v>
      </c>
      <c r="Z556" s="38" t="s">
        <v>172</v>
      </c>
      <c r="AA556" s="38" t="s">
        <v>125</v>
      </c>
      <c r="AB556" s="38" t="s">
        <v>382</v>
      </c>
      <c r="AC556" s="45"/>
      <c r="AD556" s="7"/>
      <c r="AE556" s="7"/>
      <c r="AF556" s="46" t="str">
        <f>IF(R556="","",RIGHT(R556,LEN(R556)-FIND("@",R556)))</f>
        <v>gmail.com</v>
      </c>
      <c r="AG556" s="47">
        <f>LEN(R556)-LEN(SUBSTITUTE(R556," ",""))</f>
        <v>0</v>
      </c>
      <c r="AH556" s="46" t="str">
        <f>SUBSTITUTE(R556," ","")</f>
        <v>rindagaytri97@gmail.com</v>
      </c>
      <c r="AI556" s="46">
        <f>LEN(AH556)-LEN(SUBSTITUTE(AH556," ",""))</f>
        <v>0</v>
      </c>
    </row>
    <row r="557" spans="1:35" x14ac:dyDescent="0.25">
      <c r="A557" s="36">
        <v>550</v>
      </c>
      <c r="B557" s="37" t="s">
        <v>4766</v>
      </c>
      <c r="C557" s="38" t="s">
        <v>94</v>
      </c>
      <c r="D557" s="39">
        <v>35062</v>
      </c>
      <c r="E557" s="38" t="s">
        <v>95</v>
      </c>
      <c r="F557" s="40" t="s">
        <v>129</v>
      </c>
      <c r="G557" s="38" t="s">
        <v>4767</v>
      </c>
      <c r="H557" s="38" t="s">
        <v>72</v>
      </c>
      <c r="I557" s="38" t="s">
        <v>114</v>
      </c>
      <c r="J557" s="40" t="s">
        <v>4768</v>
      </c>
      <c r="K557" s="40"/>
      <c r="L557" s="41"/>
      <c r="M557" s="38" t="s">
        <v>99</v>
      </c>
      <c r="N557" s="43" t="s">
        <v>4769</v>
      </c>
      <c r="O557" s="43" t="s">
        <v>76</v>
      </c>
      <c r="P557" s="43" t="s">
        <v>4770</v>
      </c>
      <c r="Q557" s="40" t="s">
        <v>4771</v>
      </c>
      <c r="R557" s="50" t="s">
        <v>4772</v>
      </c>
      <c r="S557" s="38" t="s">
        <v>4773</v>
      </c>
      <c r="T557" s="38"/>
      <c r="U557" s="40"/>
      <c r="V557" s="52">
        <v>43900</v>
      </c>
      <c r="W557" s="41" t="s">
        <v>4774</v>
      </c>
      <c r="X557" s="38">
        <v>1522</v>
      </c>
      <c r="Y557" s="38" t="s">
        <v>52</v>
      </c>
      <c r="Z557" s="38" t="s">
        <v>172</v>
      </c>
      <c r="AA557" s="38" t="s">
        <v>125</v>
      </c>
      <c r="AB557" s="38" t="s">
        <v>193</v>
      </c>
      <c r="AC557" s="45"/>
      <c r="AD557" s="7"/>
      <c r="AE557" s="7"/>
      <c r="AF557" s="46"/>
      <c r="AG557" s="47"/>
      <c r="AH557" s="46"/>
      <c r="AI557" s="46"/>
    </row>
    <row r="558" spans="1:35" x14ac:dyDescent="0.25">
      <c r="A558" s="36">
        <v>551</v>
      </c>
      <c r="B558" s="37" t="s">
        <v>4775</v>
      </c>
      <c r="C558" s="38" t="s">
        <v>328</v>
      </c>
      <c r="D558" s="39">
        <v>35143</v>
      </c>
      <c r="E558" s="38" t="s">
        <v>40</v>
      </c>
      <c r="F558" s="40" t="s">
        <v>48</v>
      </c>
      <c r="G558" s="38" t="s">
        <v>4776</v>
      </c>
      <c r="H558" s="38" t="s">
        <v>113</v>
      </c>
      <c r="I558" s="38" t="s">
        <v>114</v>
      </c>
      <c r="J558" s="41" t="s">
        <v>4777</v>
      </c>
      <c r="K558" s="41" t="s">
        <v>4778</v>
      </c>
      <c r="L558" s="43"/>
      <c r="M558" s="38" t="s">
        <v>99</v>
      </c>
      <c r="N558" s="43" t="s">
        <v>4779</v>
      </c>
      <c r="O558" s="43" t="s">
        <v>428</v>
      </c>
      <c r="P558" s="43" t="s">
        <v>48</v>
      </c>
      <c r="Q558" s="43" t="s">
        <v>4780</v>
      </c>
      <c r="R558" s="50" t="s">
        <v>4781</v>
      </c>
      <c r="S558" s="38" t="s">
        <v>4782</v>
      </c>
      <c r="T558" s="38"/>
      <c r="U558" s="38"/>
      <c r="V558" s="52">
        <v>43900</v>
      </c>
      <c r="W558" s="41" t="s">
        <v>4783</v>
      </c>
      <c r="X558" s="38">
        <v>1521</v>
      </c>
      <c r="Y558" s="38" t="s">
        <v>52</v>
      </c>
      <c r="Z558" s="38" t="s">
        <v>1816</v>
      </c>
      <c r="AA558" s="38" t="s">
        <v>777</v>
      </c>
      <c r="AB558" s="38" t="s">
        <v>778</v>
      </c>
      <c r="AC558" s="45"/>
      <c r="AD558" s="7"/>
      <c r="AE558" s="7"/>
      <c r="AF558" s="46"/>
      <c r="AG558" s="47"/>
      <c r="AH558" s="46"/>
      <c r="AI558" s="46"/>
    </row>
    <row r="559" spans="1:35" x14ac:dyDescent="0.25">
      <c r="A559" s="36">
        <v>552</v>
      </c>
      <c r="B559" s="37" t="s">
        <v>4784</v>
      </c>
      <c r="C559" s="38" t="s">
        <v>4785</v>
      </c>
      <c r="D559" s="39">
        <v>35835</v>
      </c>
      <c r="E559" s="38" t="s">
        <v>95</v>
      </c>
      <c r="F559" s="40" t="s">
        <v>129</v>
      </c>
      <c r="G559" s="38" t="s">
        <v>4786</v>
      </c>
      <c r="H559" s="38" t="s">
        <v>113</v>
      </c>
      <c r="I559" s="38" t="s">
        <v>114</v>
      </c>
      <c r="J559" s="40" t="s">
        <v>4787</v>
      </c>
      <c r="K559" s="40" t="s">
        <v>4788</v>
      </c>
      <c r="L559" s="40"/>
      <c r="M559" s="38" t="s">
        <v>99</v>
      </c>
      <c r="N559" s="40" t="s">
        <v>4789</v>
      </c>
      <c r="O559" s="40" t="s">
        <v>147</v>
      </c>
      <c r="P559" s="40" t="s">
        <v>4716</v>
      </c>
      <c r="Q559" s="40" t="s">
        <v>4790</v>
      </c>
      <c r="R559" s="50" t="s">
        <v>4791</v>
      </c>
      <c r="S559" s="38" t="s">
        <v>4792</v>
      </c>
      <c r="T559" s="38" t="s">
        <v>4793</v>
      </c>
      <c r="U559" s="40" t="s">
        <v>4794</v>
      </c>
      <c r="V559" s="52">
        <v>43906</v>
      </c>
      <c r="W559" s="41" t="s">
        <v>4795</v>
      </c>
      <c r="X559" s="38">
        <v>1523</v>
      </c>
      <c r="Y559" s="38" t="s">
        <v>52</v>
      </c>
      <c r="Z559" s="38" t="s">
        <v>396</v>
      </c>
      <c r="AA559" s="38" t="s">
        <v>500</v>
      </c>
      <c r="AB559" s="38" t="s">
        <v>214</v>
      </c>
      <c r="AC559" s="45"/>
      <c r="AD559" s="7"/>
      <c r="AE559" s="7"/>
      <c r="AF559" s="46"/>
      <c r="AG559" s="47"/>
      <c r="AH559" s="46"/>
      <c r="AI559" s="46"/>
    </row>
    <row r="560" spans="1:35" x14ac:dyDescent="0.25">
      <c r="A560" s="36">
        <v>553</v>
      </c>
      <c r="B560" s="37" t="s">
        <v>4796</v>
      </c>
      <c r="C560" s="38" t="s">
        <v>94</v>
      </c>
      <c r="D560" s="39">
        <v>29964</v>
      </c>
      <c r="E560" s="38" t="s">
        <v>40</v>
      </c>
      <c r="F560" s="40" t="s">
        <v>48</v>
      </c>
      <c r="G560" s="38" t="s">
        <v>4797</v>
      </c>
      <c r="H560" s="38" t="s">
        <v>43</v>
      </c>
      <c r="I560" s="38" t="s">
        <v>44</v>
      </c>
      <c r="J560" s="40" t="s">
        <v>4798</v>
      </c>
      <c r="K560" s="40"/>
      <c r="L560" s="43"/>
      <c r="M560" s="38" t="s">
        <v>47</v>
      </c>
      <c r="N560" s="43" t="s">
        <v>4799</v>
      </c>
      <c r="O560" s="43" t="s">
        <v>76</v>
      </c>
      <c r="P560" s="43" t="s">
        <v>4716</v>
      </c>
      <c r="Q560" s="40" t="s">
        <v>4800</v>
      </c>
      <c r="R560" s="50" t="s">
        <v>4801</v>
      </c>
      <c r="S560" s="38" t="s">
        <v>4802</v>
      </c>
      <c r="T560" s="38"/>
      <c r="U560" s="40"/>
      <c r="V560" s="52">
        <v>43907</v>
      </c>
      <c r="W560" s="111" t="s">
        <v>4803</v>
      </c>
      <c r="X560" s="38">
        <v>1524</v>
      </c>
      <c r="Y560" s="38" t="s">
        <v>52</v>
      </c>
      <c r="Z560" s="38" t="s">
        <v>156</v>
      </c>
      <c r="AA560" s="38" t="s">
        <v>125</v>
      </c>
      <c r="AB560" s="38" t="s">
        <v>641</v>
      </c>
      <c r="AC560" s="45"/>
      <c r="AD560" s="7"/>
      <c r="AE560" s="7"/>
      <c r="AF560" s="46" t="str">
        <f>IF(R560="","",RIGHT(R560,LEN(R560)-FIND("@",R560)))</f>
        <v>gmail.com</v>
      </c>
      <c r="AG560" s="47">
        <f>LEN(R560)-LEN(SUBSTITUTE(R560," ",""))</f>
        <v>0</v>
      </c>
      <c r="AH560" s="46" t="str">
        <f>SUBSTITUTE(R560," ","")</f>
        <v>jhonwelly828@gmail.com</v>
      </c>
      <c r="AI560" s="46">
        <f>LEN(AH560)-LEN(SUBSTITUTE(AH560," ",""))</f>
        <v>0</v>
      </c>
    </row>
    <row r="561" spans="1:35" x14ac:dyDescent="0.25">
      <c r="A561" s="48">
        <v>554</v>
      </c>
      <c r="B561" s="37" t="s">
        <v>4804</v>
      </c>
      <c r="C561" s="38" t="s">
        <v>4805</v>
      </c>
      <c r="D561" s="39">
        <v>34815</v>
      </c>
      <c r="E561" s="38" t="s">
        <v>95</v>
      </c>
      <c r="F561" s="40" t="s">
        <v>48</v>
      </c>
      <c r="G561" s="38" t="s">
        <v>4806</v>
      </c>
      <c r="H561" s="38" t="s">
        <v>4807</v>
      </c>
      <c r="I561" s="38" t="s">
        <v>4808</v>
      </c>
      <c r="J561" s="40" t="s">
        <v>4809</v>
      </c>
      <c r="K561" s="40" t="s">
        <v>4810</v>
      </c>
      <c r="L561" s="40"/>
      <c r="M561" s="38" t="s">
        <v>99</v>
      </c>
      <c r="N561" s="43" t="s">
        <v>48</v>
      </c>
      <c r="O561" s="43"/>
      <c r="P561" s="40" t="s">
        <v>48</v>
      </c>
      <c r="Q561" s="40"/>
      <c r="R561" s="50" t="s">
        <v>4811</v>
      </c>
      <c r="S561" s="38"/>
      <c r="T561" s="38"/>
      <c r="U561" s="40"/>
      <c r="V561" s="107">
        <v>43910</v>
      </c>
      <c r="W561" s="108" t="s">
        <v>4812</v>
      </c>
      <c r="X561" s="109">
        <v>1525</v>
      </c>
      <c r="Y561" s="109" t="s">
        <v>4584</v>
      </c>
      <c r="Z561" s="109" t="s">
        <v>172</v>
      </c>
      <c r="AA561" s="38" t="s">
        <v>125</v>
      </c>
      <c r="AB561" s="38" t="s">
        <v>994</v>
      </c>
      <c r="AC561" s="45"/>
      <c r="AD561" s="7"/>
      <c r="AE561" s="7"/>
      <c r="AF561" s="46" t="str">
        <f>IF(R561="","",RIGHT(R561,LEN(R561)-FIND("@",R561)))</f>
        <v>gmail.com</v>
      </c>
      <c r="AG561" s="47">
        <f>LEN(R561)-LEN(SUBSTITUTE(R561," ",""))</f>
        <v>0</v>
      </c>
      <c r="AH561" s="46" t="str">
        <f>SUBSTITUTE(R561," ","")</f>
        <v>baiqyuneryaprilia280@gmail.com</v>
      </c>
      <c r="AI561" s="46">
        <f>LEN(AH561)-LEN(SUBSTITUTE(AH561," ",""))</f>
        <v>0</v>
      </c>
    </row>
    <row r="562" spans="1:35" x14ac:dyDescent="0.25">
      <c r="A562" s="36">
        <v>555</v>
      </c>
      <c r="B562" s="37" t="s">
        <v>4813</v>
      </c>
      <c r="C562" s="38" t="s">
        <v>548</v>
      </c>
      <c r="D562" s="39">
        <v>35317</v>
      </c>
      <c r="E562" s="38" t="s">
        <v>40</v>
      </c>
      <c r="F562" s="40" t="s">
        <v>48</v>
      </c>
      <c r="G562" s="38" t="s">
        <v>4814</v>
      </c>
      <c r="H562" s="38" t="s">
        <v>113</v>
      </c>
      <c r="I562" s="38" t="s">
        <v>114</v>
      </c>
      <c r="J562" s="40" t="s">
        <v>4815</v>
      </c>
      <c r="K562" s="40" t="s">
        <v>4816</v>
      </c>
      <c r="L562" s="43"/>
      <c r="M562" s="38" t="s">
        <v>99</v>
      </c>
      <c r="N562" s="43" t="s">
        <v>48</v>
      </c>
      <c r="O562" s="43"/>
      <c r="P562" s="43" t="s">
        <v>48</v>
      </c>
      <c r="Q562" s="40"/>
      <c r="R562" s="50" t="s">
        <v>4817</v>
      </c>
      <c r="S562" s="38" t="s">
        <v>4818</v>
      </c>
      <c r="T562" s="38"/>
      <c r="U562" s="40"/>
      <c r="V562" s="107">
        <v>43913</v>
      </c>
      <c r="W562" s="108" t="s">
        <v>4819</v>
      </c>
      <c r="X562" s="109">
        <v>1526</v>
      </c>
      <c r="Y562" s="109" t="s">
        <v>4584</v>
      </c>
      <c r="Z562" s="109" t="s">
        <v>156</v>
      </c>
      <c r="AA562" s="38" t="s">
        <v>125</v>
      </c>
      <c r="AB562" s="38" t="s">
        <v>689</v>
      </c>
      <c r="AC562" s="45"/>
      <c r="AD562" s="7"/>
      <c r="AE562" s="7"/>
      <c r="AF562" s="46" t="str">
        <f>IF(R562="","",RIGHT(R562,LEN(R562)-FIND("@",R562)))</f>
        <v>gmail.com</v>
      </c>
      <c r="AG562" s="47">
        <f>LEN(R562)-LEN(SUBSTITUTE(R562," ",""))</f>
        <v>0</v>
      </c>
      <c r="AH562" s="46" t="str">
        <f>SUBSTITUTE(R562," ","")</f>
        <v>adiwahyu090996@gmail.com</v>
      </c>
      <c r="AI562" s="46">
        <f>LEN(AH562)-LEN(SUBSTITUTE(AH562," ",""))</f>
        <v>0</v>
      </c>
    </row>
    <row r="563" spans="1:35" x14ac:dyDescent="0.25">
      <c r="A563" s="36">
        <v>556</v>
      </c>
      <c r="B563" s="37" t="s">
        <v>4820</v>
      </c>
      <c r="C563" s="38" t="s">
        <v>4821</v>
      </c>
      <c r="D563" s="39">
        <v>35867</v>
      </c>
      <c r="E563" s="38" t="s">
        <v>40</v>
      </c>
      <c r="F563" s="40" t="s">
        <v>48</v>
      </c>
      <c r="G563" s="38" t="s">
        <v>4822</v>
      </c>
      <c r="H563" s="38" t="s">
        <v>43</v>
      </c>
      <c r="I563" s="38" t="s">
        <v>114</v>
      </c>
      <c r="J563" s="40" t="s">
        <v>4823</v>
      </c>
      <c r="K563" s="40"/>
      <c r="L563" s="40"/>
      <c r="M563" s="38" t="s">
        <v>99</v>
      </c>
      <c r="N563" s="43" t="s">
        <v>48</v>
      </c>
      <c r="O563" s="43"/>
      <c r="P563" s="43" t="s">
        <v>4824</v>
      </c>
      <c r="Q563" s="40" t="s">
        <v>4825</v>
      </c>
      <c r="R563" s="50" t="s">
        <v>4826</v>
      </c>
      <c r="S563" s="38" t="s">
        <v>4827</v>
      </c>
      <c r="T563" s="38" t="s">
        <v>613</v>
      </c>
      <c r="U563" s="40" t="s">
        <v>4828</v>
      </c>
      <c r="V563" s="52">
        <v>43915</v>
      </c>
      <c r="W563" s="41" t="s">
        <v>4829</v>
      </c>
      <c r="X563" s="38">
        <v>1530</v>
      </c>
      <c r="Y563" s="38" t="s">
        <v>52</v>
      </c>
      <c r="Z563" s="38" t="s">
        <v>156</v>
      </c>
      <c r="AA563" s="38" t="s">
        <v>125</v>
      </c>
      <c r="AB563" s="38" t="s">
        <v>3949</v>
      </c>
      <c r="AC563" s="45"/>
      <c r="AD563" s="7"/>
      <c r="AE563" s="7"/>
      <c r="AF563" s="46"/>
      <c r="AG563" s="47"/>
      <c r="AH563" s="46"/>
      <c r="AI563" s="46"/>
    </row>
    <row r="564" spans="1:35" x14ac:dyDescent="0.25">
      <c r="A564" s="36">
        <v>557</v>
      </c>
      <c r="B564" s="37" t="s">
        <v>4830</v>
      </c>
      <c r="C564" s="38" t="s">
        <v>328</v>
      </c>
      <c r="D564" s="39">
        <v>34802</v>
      </c>
      <c r="E564" s="38" t="s">
        <v>40</v>
      </c>
      <c r="F564" s="40" t="s">
        <v>48</v>
      </c>
      <c r="G564" s="38" t="s">
        <v>4831</v>
      </c>
      <c r="H564" s="38" t="s">
        <v>113</v>
      </c>
      <c r="I564" s="38" t="s">
        <v>114</v>
      </c>
      <c r="J564" s="40" t="s">
        <v>4832</v>
      </c>
      <c r="K564" s="40" t="s">
        <v>4833</v>
      </c>
      <c r="L564" s="40"/>
      <c r="M564" s="38" t="s">
        <v>99</v>
      </c>
      <c r="N564" s="43" t="s">
        <v>48</v>
      </c>
      <c r="O564" s="43"/>
      <c r="P564" s="43" t="s">
        <v>4716</v>
      </c>
      <c r="Q564" s="40" t="s">
        <v>4834</v>
      </c>
      <c r="R564" s="50" t="s">
        <v>4835</v>
      </c>
      <c r="S564" s="38" t="s">
        <v>4836</v>
      </c>
      <c r="T564" s="38" t="s">
        <v>613</v>
      </c>
      <c r="U564" s="40" t="s">
        <v>4837</v>
      </c>
      <c r="V564" s="52">
        <v>43921</v>
      </c>
      <c r="W564" s="41" t="s">
        <v>4838</v>
      </c>
      <c r="X564" s="38">
        <v>1527</v>
      </c>
      <c r="Y564" s="38" t="s">
        <v>52</v>
      </c>
      <c r="Z564" s="38" t="s">
        <v>4839</v>
      </c>
      <c r="AA564" s="38" t="s">
        <v>82</v>
      </c>
      <c r="AB564" s="38" t="s">
        <v>55</v>
      </c>
      <c r="AC564" s="45"/>
      <c r="AD564" s="7"/>
      <c r="AE564" s="7"/>
      <c r="AF564" s="46" t="str">
        <f>IF(R564="","",RIGHT(R564,LEN(R564)-FIND("@",R564)))</f>
        <v>gmail.com</v>
      </c>
      <c r="AG564" s="47">
        <f>LEN(R564)-LEN(SUBSTITUTE(R564," ",""))</f>
        <v>0</v>
      </c>
      <c r="AH564" s="46" t="str">
        <f>SUBSTITUTE(R564," ","")</f>
        <v>rizkykcys@gmail.com</v>
      </c>
      <c r="AI564" s="46">
        <f>LEN(AH564)-LEN(SUBSTITUTE(AH564," ",""))</f>
        <v>0</v>
      </c>
    </row>
    <row r="565" spans="1:35" x14ac:dyDescent="0.25">
      <c r="A565" s="36">
        <v>558</v>
      </c>
      <c r="B565" s="37" t="s">
        <v>4840</v>
      </c>
      <c r="C565" s="38" t="s">
        <v>4337</v>
      </c>
      <c r="D565" s="39">
        <v>35950</v>
      </c>
      <c r="E565" s="38" t="s">
        <v>95</v>
      </c>
      <c r="F565" s="40" t="s">
        <v>129</v>
      </c>
      <c r="G565" s="38" t="s">
        <v>4841</v>
      </c>
      <c r="H565" s="38" t="s">
        <v>113</v>
      </c>
      <c r="I565" s="38" t="s">
        <v>114</v>
      </c>
      <c r="J565" s="40" t="s">
        <v>4842</v>
      </c>
      <c r="K565" s="40" t="s">
        <v>4843</v>
      </c>
      <c r="L565" s="43"/>
      <c r="M565" s="38" t="s">
        <v>99</v>
      </c>
      <c r="N565" s="43" t="s">
        <v>48</v>
      </c>
      <c r="O565" s="43"/>
      <c r="P565" s="43" t="s">
        <v>4716</v>
      </c>
      <c r="Q565" s="40" t="s">
        <v>4844</v>
      </c>
      <c r="R565" s="50" t="s">
        <v>4845</v>
      </c>
      <c r="S565" s="38" t="s">
        <v>4846</v>
      </c>
      <c r="T565" s="38"/>
      <c r="U565" s="40"/>
      <c r="V565" s="52">
        <v>43922</v>
      </c>
      <c r="W565" s="41" t="s">
        <v>4847</v>
      </c>
      <c r="X565" s="38">
        <v>1528</v>
      </c>
      <c r="Y565" s="38" t="s">
        <v>52</v>
      </c>
      <c r="Z565" s="38" t="s">
        <v>172</v>
      </c>
      <c r="AA565" s="38" t="s">
        <v>125</v>
      </c>
      <c r="AB565" s="38" t="s">
        <v>126</v>
      </c>
      <c r="AC565" s="45"/>
      <c r="AD565" s="7"/>
      <c r="AE565" s="7"/>
      <c r="AF565" s="46"/>
      <c r="AG565" s="47"/>
      <c r="AH565" s="46"/>
      <c r="AI565" s="46"/>
    </row>
    <row r="566" spans="1:35" x14ac:dyDescent="0.25">
      <c r="A566" s="36">
        <v>559</v>
      </c>
      <c r="B566" s="37" t="s">
        <v>4848</v>
      </c>
      <c r="C566" s="38" t="s">
        <v>4849</v>
      </c>
      <c r="D566" s="39">
        <v>33824</v>
      </c>
      <c r="E566" s="38" t="s">
        <v>95</v>
      </c>
      <c r="F566" s="40" t="s">
        <v>48</v>
      </c>
      <c r="G566" s="38" t="s">
        <v>4850</v>
      </c>
      <c r="H566" s="38" t="s">
        <v>510</v>
      </c>
      <c r="I566" s="38" t="s">
        <v>114</v>
      </c>
      <c r="J566" s="40" t="s">
        <v>4851</v>
      </c>
      <c r="K566" s="40"/>
      <c r="L566" s="40"/>
      <c r="M566" s="38" t="s">
        <v>99</v>
      </c>
      <c r="N566" s="43" t="s">
        <v>48</v>
      </c>
      <c r="O566" s="43"/>
      <c r="P566" s="40" t="s">
        <v>48</v>
      </c>
      <c r="Q566" s="40" t="s">
        <v>4852</v>
      </c>
      <c r="R566" s="50" t="s">
        <v>4853</v>
      </c>
      <c r="S566" s="38" t="s">
        <v>4854</v>
      </c>
      <c r="T566" s="38" t="s">
        <v>1185</v>
      </c>
      <c r="U566" s="40" t="s">
        <v>4855</v>
      </c>
      <c r="V566" s="107">
        <v>43924</v>
      </c>
      <c r="W566" s="108" t="s">
        <v>4856</v>
      </c>
      <c r="X566" s="109">
        <v>1529</v>
      </c>
      <c r="Y566" s="109" t="s">
        <v>4584</v>
      </c>
      <c r="Z566" s="109" t="s">
        <v>4679</v>
      </c>
      <c r="AA566" s="38" t="s">
        <v>82</v>
      </c>
      <c r="AB566" s="38" t="s">
        <v>55</v>
      </c>
      <c r="AC566" s="45"/>
      <c r="AD566" s="7"/>
      <c r="AE566" s="7"/>
      <c r="AF566" s="46" t="str">
        <f>IF(R566="","",RIGHT(R566,LEN(R566)-FIND("@",R566)))</f>
        <v>gmail.com</v>
      </c>
      <c r="AG566" s="47">
        <f>LEN(R566)-LEN(SUBSTITUTE(R566," ",""))</f>
        <v>0</v>
      </c>
      <c r="AH566" s="46" t="str">
        <f>SUBSTITUTE(R566," ","")</f>
        <v>ichamofferz92@gmail.com</v>
      </c>
      <c r="AI566" s="46">
        <f>LEN(AH566)-LEN(SUBSTITUTE(AH566," ",""))</f>
        <v>0</v>
      </c>
    </row>
    <row r="567" spans="1:35" x14ac:dyDescent="0.25">
      <c r="A567" s="48">
        <v>560</v>
      </c>
      <c r="B567" s="37" t="s">
        <v>4857</v>
      </c>
      <c r="C567" s="38" t="s">
        <v>267</v>
      </c>
      <c r="D567" s="39">
        <v>35315</v>
      </c>
      <c r="E567" s="38" t="s">
        <v>95</v>
      </c>
      <c r="F567" s="40" t="s">
        <v>48</v>
      </c>
      <c r="G567" s="38" t="s">
        <v>4858</v>
      </c>
      <c r="H567" s="38" t="s">
        <v>43</v>
      </c>
      <c r="I567" s="38" t="s">
        <v>114</v>
      </c>
      <c r="J567" s="38" t="s">
        <v>4859</v>
      </c>
      <c r="K567" s="38"/>
      <c r="L567" s="43"/>
      <c r="M567" s="38" t="s">
        <v>99</v>
      </c>
      <c r="N567" s="43" t="s">
        <v>48</v>
      </c>
      <c r="O567" s="43"/>
      <c r="P567" s="43" t="s">
        <v>48</v>
      </c>
      <c r="Q567" s="40" t="s">
        <v>4860</v>
      </c>
      <c r="R567" s="50" t="s">
        <v>4861</v>
      </c>
      <c r="S567" s="38" t="s">
        <v>4862</v>
      </c>
      <c r="T567" s="38" t="s">
        <v>613</v>
      </c>
      <c r="U567" s="38" t="s">
        <v>4863</v>
      </c>
      <c r="V567" s="112">
        <v>43934</v>
      </c>
      <c r="W567" s="108" t="s">
        <v>4864</v>
      </c>
      <c r="X567" s="109">
        <v>1531</v>
      </c>
      <c r="Y567" s="109" t="s">
        <v>4584</v>
      </c>
      <c r="Z567" s="109" t="s">
        <v>172</v>
      </c>
      <c r="AA567" s="38" t="s">
        <v>125</v>
      </c>
      <c r="AB567" s="38" t="s">
        <v>1026</v>
      </c>
      <c r="AC567" s="45"/>
      <c r="AD567" s="7"/>
      <c r="AE567" s="7"/>
      <c r="AF567" s="46" t="str">
        <f>IF(R567="","",RIGHT(R567,LEN(R567)-FIND("@",R567)))</f>
        <v>gmail.com</v>
      </c>
      <c r="AG567" s="47">
        <f>LEN(R567)-LEN(SUBSTITUTE(R567," ",""))</f>
        <v>0</v>
      </c>
      <c r="AH567" s="46" t="str">
        <f>SUBSTITUTE(R567," ","")</f>
        <v>mputtayu79@gmail.com</v>
      </c>
      <c r="AI567" s="46">
        <f>LEN(AH567)-LEN(SUBSTITUTE(AH567," ",""))</f>
        <v>0</v>
      </c>
    </row>
    <row r="568" spans="1:35" x14ac:dyDescent="0.25">
      <c r="A568" s="36">
        <v>561</v>
      </c>
      <c r="B568" s="37" t="s">
        <v>4865</v>
      </c>
      <c r="C568" s="38" t="s">
        <v>267</v>
      </c>
      <c r="D568" s="39">
        <v>31143</v>
      </c>
      <c r="E568" s="38" t="s">
        <v>40</v>
      </c>
      <c r="F568" s="40" t="s">
        <v>48</v>
      </c>
      <c r="G568" s="38" t="s">
        <v>4866</v>
      </c>
      <c r="H568" s="38" t="s">
        <v>43</v>
      </c>
      <c r="I568" s="38" t="s">
        <v>44</v>
      </c>
      <c r="J568" s="40" t="s">
        <v>4867</v>
      </c>
      <c r="K568" s="38"/>
      <c r="L568" s="40"/>
      <c r="M568" s="38" t="s">
        <v>133</v>
      </c>
      <c r="N568" s="43" t="s">
        <v>48</v>
      </c>
      <c r="O568" s="43"/>
      <c r="P568" s="41" t="s">
        <v>48</v>
      </c>
      <c r="Q568" s="40" t="s">
        <v>4868</v>
      </c>
      <c r="R568" s="50" t="s">
        <v>4869</v>
      </c>
      <c r="S568" s="38" t="s">
        <v>4870</v>
      </c>
      <c r="T568" s="38" t="s">
        <v>65</v>
      </c>
      <c r="U568" s="38" t="s">
        <v>4871</v>
      </c>
      <c r="V568" s="112">
        <v>43952</v>
      </c>
      <c r="W568" s="108" t="s">
        <v>4872</v>
      </c>
      <c r="X568" s="109">
        <v>1532</v>
      </c>
      <c r="Y568" s="109" t="s">
        <v>4584</v>
      </c>
      <c r="Z568" s="109" t="s">
        <v>1298</v>
      </c>
      <c r="AA568" s="38" t="s">
        <v>82</v>
      </c>
      <c r="AB568" s="38" t="s">
        <v>55</v>
      </c>
      <c r="AC568" s="45"/>
      <c r="AD568" s="7"/>
      <c r="AE568" s="7"/>
      <c r="AF568" s="46" t="str">
        <f>IF(R568="","",RIGHT(R568,LEN(R568)-FIND("@",R568)))</f>
        <v>yahoo.com</v>
      </c>
      <c r="AG568" s="47">
        <f>LEN(R568)-LEN(SUBSTITUTE(R568," ",""))</f>
        <v>0</v>
      </c>
      <c r="AH568" s="46" t="str">
        <f>SUBSTITUTE(R568," ","")</f>
        <v>anggatonico@yahoo.com</v>
      </c>
      <c r="AI568" s="46">
        <f>LEN(AH568)-LEN(SUBSTITUTE(AH568," ",""))</f>
        <v>0</v>
      </c>
    </row>
    <row r="569" spans="1:35" x14ac:dyDescent="0.25">
      <c r="A569" s="36">
        <v>562</v>
      </c>
      <c r="B569" s="113" t="s">
        <v>4873</v>
      </c>
      <c r="C569" s="54" t="s">
        <v>94</v>
      </c>
      <c r="D569" s="55">
        <v>35656</v>
      </c>
      <c r="E569" s="54" t="s">
        <v>95</v>
      </c>
      <c r="F569" s="69" t="s">
        <v>48</v>
      </c>
      <c r="G569" s="54" t="s">
        <v>4874</v>
      </c>
      <c r="H569" s="54" t="s">
        <v>43</v>
      </c>
      <c r="I569" s="54" t="s">
        <v>114</v>
      </c>
      <c r="J569" s="69" t="s">
        <v>4875</v>
      </c>
      <c r="K569" s="54"/>
      <c r="L569" s="69"/>
      <c r="M569" s="54" t="s">
        <v>99</v>
      </c>
      <c r="N569" s="90"/>
      <c r="O569" s="90"/>
      <c r="P569" s="90"/>
      <c r="Q569" s="69" t="s">
        <v>4876</v>
      </c>
      <c r="R569" s="57" t="s">
        <v>4877</v>
      </c>
      <c r="S569" s="54" t="s">
        <v>4878</v>
      </c>
      <c r="T569" s="54" t="s">
        <v>613</v>
      </c>
      <c r="U569" s="54" t="s">
        <v>4879</v>
      </c>
      <c r="V569" s="114">
        <v>43966</v>
      </c>
      <c r="W569" s="115" t="s">
        <v>4880</v>
      </c>
      <c r="X569" s="116">
        <v>1533</v>
      </c>
      <c r="Y569" s="54" t="s">
        <v>85</v>
      </c>
      <c r="Z569" s="116" t="s">
        <v>172</v>
      </c>
      <c r="AA569" s="54" t="s">
        <v>125</v>
      </c>
      <c r="AB569" s="54" t="s">
        <v>4881</v>
      </c>
      <c r="AC569" s="58">
        <v>43982</v>
      </c>
      <c r="AD569" s="77"/>
      <c r="AE569" s="4"/>
      <c r="AF569" s="4"/>
      <c r="AG569" s="4"/>
      <c r="AH569" s="4"/>
      <c r="AI569" s="4"/>
    </row>
    <row r="570" spans="1:35" x14ac:dyDescent="0.25">
      <c r="A570" s="36">
        <v>563</v>
      </c>
      <c r="B570" s="117" t="s">
        <v>4882</v>
      </c>
      <c r="C570" s="38" t="s">
        <v>4883</v>
      </c>
      <c r="D570" s="39">
        <v>33972</v>
      </c>
      <c r="E570" s="38" t="s">
        <v>40</v>
      </c>
      <c r="F570" s="40" t="s">
        <v>48</v>
      </c>
      <c r="G570" s="38" t="s">
        <v>4884</v>
      </c>
      <c r="H570" s="38" t="s">
        <v>72</v>
      </c>
      <c r="I570" s="38" t="s">
        <v>44</v>
      </c>
      <c r="J570" s="40" t="s">
        <v>4885</v>
      </c>
      <c r="K570" s="38"/>
      <c r="L570" s="40"/>
      <c r="M570" s="38" t="s">
        <v>133</v>
      </c>
      <c r="N570" s="43" t="s">
        <v>48</v>
      </c>
      <c r="O570" s="43"/>
      <c r="P570" s="41" t="s">
        <v>48</v>
      </c>
      <c r="Q570" s="40" t="s">
        <v>4886</v>
      </c>
      <c r="R570" s="50" t="s">
        <v>4887</v>
      </c>
      <c r="S570" s="38" t="s">
        <v>4884</v>
      </c>
      <c r="T570" s="38" t="s">
        <v>1185</v>
      </c>
      <c r="U570" s="38" t="s">
        <v>4888</v>
      </c>
      <c r="V570" s="112">
        <v>43967</v>
      </c>
      <c r="W570" s="108" t="s">
        <v>4889</v>
      </c>
      <c r="X570" s="109">
        <v>1534</v>
      </c>
      <c r="Y570" s="109" t="s">
        <v>4584</v>
      </c>
      <c r="Z570" s="109" t="s">
        <v>156</v>
      </c>
      <c r="AA570" s="38" t="s">
        <v>125</v>
      </c>
      <c r="AB570" s="38" t="s">
        <v>546</v>
      </c>
      <c r="AC570" s="45"/>
      <c r="AD570" s="46"/>
      <c r="AE570" s="7"/>
      <c r="AF570" s="46" t="str">
        <f>IF(R570="","",RIGHT(R570,LEN(R570)-FIND("@",R570)))</f>
        <v xml:space="preserve">gmail.com </v>
      </c>
      <c r="AG570" s="47">
        <f>LEN(R570)-LEN(SUBSTITUTE(R570," ",""))</f>
        <v>1</v>
      </c>
      <c r="AH570" s="46" t="str">
        <f>SUBSTITUTE(R570," ","")</f>
        <v>mankdody03@gmail.com</v>
      </c>
      <c r="AI570" s="46">
        <f>LEN(AH570)-LEN(SUBSTITUTE(AH570," ",""))</f>
        <v>0</v>
      </c>
    </row>
    <row r="571" spans="1:35" x14ac:dyDescent="0.25">
      <c r="A571" s="36">
        <v>564</v>
      </c>
      <c r="B571" s="117" t="s">
        <v>4890</v>
      </c>
      <c r="C571" s="38" t="s">
        <v>4891</v>
      </c>
      <c r="D571" s="39">
        <v>34771</v>
      </c>
      <c r="E571" s="38" t="s">
        <v>40</v>
      </c>
      <c r="F571" s="40" t="s">
        <v>48</v>
      </c>
      <c r="G571" s="38" t="s">
        <v>4892</v>
      </c>
      <c r="H571" s="38" t="s">
        <v>113</v>
      </c>
      <c r="I571" s="38" t="s">
        <v>114</v>
      </c>
      <c r="J571" s="40" t="s">
        <v>4893</v>
      </c>
      <c r="K571" s="38"/>
      <c r="L571" s="40"/>
      <c r="M571" s="38" t="s">
        <v>133</v>
      </c>
      <c r="N571" s="40" t="s">
        <v>48</v>
      </c>
      <c r="O571" s="40"/>
      <c r="P571" s="40" t="s">
        <v>48</v>
      </c>
      <c r="Q571" s="40" t="s">
        <v>4894</v>
      </c>
      <c r="R571" s="118" t="s">
        <v>4895</v>
      </c>
      <c r="S571" s="38" t="s">
        <v>4896</v>
      </c>
      <c r="T571" s="38" t="s">
        <v>1185</v>
      </c>
      <c r="U571" s="38" t="s">
        <v>4897</v>
      </c>
      <c r="V571" s="112">
        <v>43983</v>
      </c>
      <c r="W571" s="108" t="s">
        <v>4898</v>
      </c>
      <c r="X571" s="109">
        <v>1535</v>
      </c>
      <c r="Y571" s="109" t="s">
        <v>4584</v>
      </c>
      <c r="Z571" s="109" t="s">
        <v>4839</v>
      </c>
      <c r="AA571" s="38" t="s">
        <v>82</v>
      </c>
      <c r="AB571" s="38" t="s">
        <v>55</v>
      </c>
      <c r="AC571" s="45"/>
      <c r="AD571" s="46"/>
      <c r="AE571" s="7"/>
      <c r="AF571" s="46"/>
      <c r="AG571" s="47"/>
      <c r="AH571" s="46"/>
      <c r="AI571" s="46"/>
    </row>
    <row r="572" spans="1:35" x14ac:dyDescent="0.25">
      <c r="A572" s="36">
        <v>565</v>
      </c>
      <c r="B572" s="117" t="s">
        <v>4899</v>
      </c>
      <c r="C572" s="38" t="s">
        <v>758</v>
      </c>
      <c r="D572" s="39">
        <v>31382</v>
      </c>
      <c r="E572" s="38" t="s">
        <v>40</v>
      </c>
      <c r="F572" s="40" t="s">
        <v>304</v>
      </c>
      <c r="G572" s="38" t="s">
        <v>4900</v>
      </c>
      <c r="H572" s="38" t="s">
        <v>72</v>
      </c>
      <c r="I572" s="38" t="s">
        <v>44</v>
      </c>
      <c r="J572" s="40" t="s">
        <v>4901</v>
      </c>
      <c r="K572" s="40" t="s">
        <v>4902</v>
      </c>
      <c r="L572" s="40"/>
      <c r="M572" s="38" t="s">
        <v>47</v>
      </c>
      <c r="N572" s="40" t="s">
        <v>48</v>
      </c>
      <c r="O572" s="40"/>
      <c r="P572" s="40" t="s">
        <v>48</v>
      </c>
      <c r="Q572" s="40" t="s">
        <v>4903</v>
      </c>
      <c r="R572" s="118" t="s">
        <v>4904</v>
      </c>
      <c r="S572" s="38" t="s">
        <v>4905</v>
      </c>
      <c r="T572" s="38" t="s">
        <v>4906</v>
      </c>
      <c r="U572" s="40" t="s">
        <v>4907</v>
      </c>
      <c r="V572" s="112">
        <v>43984</v>
      </c>
      <c r="W572" s="108" t="s">
        <v>4908</v>
      </c>
      <c r="X572" s="109">
        <v>1536</v>
      </c>
      <c r="Y572" s="109" t="s">
        <v>4584</v>
      </c>
      <c r="Z572" s="109" t="s">
        <v>156</v>
      </c>
      <c r="AA572" s="38" t="s">
        <v>125</v>
      </c>
      <c r="AB572" s="38" t="s">
        <v>467</v>
      </c>
      <c r="AC572" s="45"/>
      <c r="AD572" s="46"/>
      <c r="AE572" s="7"/>
      <c r="AF572" s="46"/>
      <c r="AG572" s="47"/>
      <c r="AH572" s="46"/>
      <c r="AI572" s="46"/>
    </row>
    <row r="573" spans="1:35" x14ac:dyDescent="0.25">
      <c r="A573" s="36">
        <v>566</v>
      </c>
      <c r="B573" s="117" t="s">
        <v>4909</v>
      </c>
      <c r="C573" s="38" t="s">
        <v>548</v>
      </c>
      <c r="D573" s="39">
        <v>36007</v>
      </c>
      <c r="E573" s="38" t="s">
        <v>40</v>
      </c>
      <c r="F573" s="40" t="s">
        <v>48</v>
      </c>
      <c r="G573" s="38" t="s">
        <v>4910</v>
      </c>
      <c r="H573" s="38" t="s">
        <v>113</v>
      </c>
      <c r="I573" s="38" t="s">
        <v>44</v>
      </c>
      <c r="J573" s="40" t="s">
        <v>4911</v>
      </c>
      <c r="K573" s="38"/>
      <c r="L573" s="40"/>
      <c r="M573" s="38" t="s">
        <v>133</v>
      </c>
      <c r="N573" s="40" t="s">
        <v>48</v>
      </c>
      <c r="O573" s="38"/>
      <c r="P573" s="40" t="s">
        <v>48</v>
      </c>
      <c r="Q573" s="40" t="s">
        <v>4912</v>
      </c>
      <c r="R573" s="50" t="s">
        <v>4913</v>
      </c>
      <c r="S573" s="38" t="s">
        <v>4910</v>
      </c>
      <c r="T573" s="38" t="s">
        <v>65</v>
      </c>
      <c r="U573" s="38" t="s">
        <v>4914</v>
      </c>
      <c r="V573" s="112">
        <v>43992</v>
      </c>
      <c r="W573" s="108" t="s">
        <v>4915</v>
      </c>
      <c r="X573" s="109">
        <v>1537</v>
      </c>
      <c r="Y573" s="109" t="s">
        <v>4584</v>
      </c>
      <c r="Z573" s="109" t="s">
        <v>4839</v>
      </c>
      <c r="AA573" s="38" t="s">
        <v>82</v>
      </c>
      <c r="AB573" s="38" t="s">
        <v>55</v>
      </c>
      <c r="AC573" s="45"/>
      <c r="AD573" s="46"/>
      <c r="AE573" s="7"/>
      <c r="AF573" s="46" t="str">
        <f>IF(R573="","",RIGHT(R573,LEN(R573)-FIND("@",R573)))</f>
        <v>gmail.com</v>
      </c>
      <c r="AG573" s="47">
        <f>LEN(R573)-LEN(SUBSTITUTE(R573," ",""))</f>
        <v>0</v>
      </c>
      <c r="AH573" s="46" t="str">
        <f>SUBSTITUTE(R573," ","")</f>
        <v>risa.arfiana6@gmail.com</v>
      </c>
      <c r="AI573" s="46">
        <f>LEN(AH573)-LEN(SUBSTITUTE(AH573," ",""))</f>
        <v>0</v>
      </c>
    </row>
    <row r="574" spans="1:35" x14ac:dyDescent="0.25">
      <c r="A574" s="36">
        <v>567</v>
      </c>
      <c r="B574" s="117" t="s">
        <v>4916</v>
      </c>
      <c r="C574" s="38" t="s">
        <v>94</v>
      </c>
      <c r="D574" s="39">
        <v>37442</v>
      </c>
      <c r="E574" s="38" t="s">
        <v>95</v>
      </c>
      <c r="F574" s="40" t="s">
        <v>48</v>
      </c>
      <c r="G574" s="38" t="s">
        <v>4917</v>
      </c>
      <c r="H574" s="38" t="s">
        <v>72</v>
      </c>
      <c r="I574" s="38" t="s">
        <v>114</v>
      </c>
      <c r="J574" s="40" t="s">
        <v>4918</v>
      </c>
      <c r="K574" s="38"/>
      <c r="L574" s="40"/>
      <c r="M574" s="38" t="s">
        <v>99</v>
      </c>
      <c r="N574" s="40" t="s">
        <v>48</v>
      </c>
      <c r="O574" s="40"/>
      <c r="P574" s="40" t="s">
        <v>48</v>
      </c>
      <c r="Q574" s="40" t="s">
        <v>4919</v>
      </c>
      <c r="R574" s="50" t="s">
        <v>4920</v>
      </c>
      <c r="S574" s="38" t="s">
        <v>4921</v>
      </c>
      <c r="T574" s="38" t="s">
        <v>613</v>
      </c>
      <c r="U574" s="38" t="s">
        <v>4922</v>
      </c>
      <c r="V574" s="112">
        <v>44000</v>
      </c>
      <c r="W574" s="108" t="s">
        <v>4923</v>
      </c>
      <c r="X574" s="109">
        <v>1538</v>
      </c>
      <c r="Y574" s="109" t="s">
        <v>4584</v>
      </c>
      <c r="Z574" s="109" t="s">
        <v>172</v>
      </c>
      <c r="AA574" s="38" t="s">
        <v>125</v>
      </c>
      <c r="AB574" s="38" t="s">
        <v>1570</v>
      </c>
      <c r="AC574" s="45"/>
      <c r="AD574" s="46"/>
      <c r="AE574" s="7"/>
      <c r="AF574" s="46" t="str">
        <f>IF(R574="","",RIGHT(R574,LEN(R574)-FIND("@",R574)))</f>
        <v>gmail.com</v>
      </c>
      <c r="AG574" s="47">
        <f>LEN(R574)-LEN(SUBSTITUTE(R574," ",""))</f>
        <v>0</v>
      </c>
      <c r="AH574" s="46" t="str">
        <f>SUBSTITUTE(R574," ","")</f>
        <v>ayusudarmini05@gmail.com</v>
      </c>
      <c r="AI574" s="46">
        <f>LEN(AH574)-LEN(SUBSTITUTE(AH574," ",""))</f>
        <v>0</v>
      </c>
    </row>
    <row r="575" spans="1:35" x14ac:dyDescent="0.25">
      <c r="A575" s="36">
        <v>568</v>
      </c>
      <c r="B575" s="117" t="s">
        <v>4924</v>
      </c>
      <c r="C575" s="38" t="s">
        <v>4925</v>
      </c>
      <c r="D575" s="39">
        <v>35672</v>
      </c>
      <c r="E575" s="38" t="s">
        <v>40</v>
      </c>
      <c r="F575" s="40" t="s">
        <v>48</v>
      </c>
      <c r="G575" s="38" t="s">
        <v>4926</v>
      </c>
      <c r="H575" s="38" t="s">
        <v>113</v>
      </c>
      <c r="I575" s="38" t="s">
        <v>114</v>
      </c>
      <c r="J575" s="40" t="s">
        <v>4927</v>
      </c>
      <c r="K575" s="38"/>
      <c r="L575" s="40" t="s">
        <v>4928</v>
      </c>
      <c r="M575" s="38" t="s">
        <v>99</v>
      </c>
      <c r="N575" s="40" t="s">
        <v>48</v>
      </c>
      <c r="O575" s="40"/>
      <c r="P575" s="40" t="s">
        <v>48</v>
      </c>
      <c r="Q575" s="40" t="s">
        <v>4929</v>
      </c>
      <c r="R575" s="50" t="s">
        <v>4930</v>
      </c>
      <c r="S575" s="38" t="s">
        <v>4931</v>
      </c>
      <c r="T575" s="38" t="s">
        <v>613</v>
      </c>
      <c r="U575" s="38" t="s">
        <v>4932</v>
      </c>
      <c r="V575" s="112">
        <v>44002</v>
      </c>
      <c r="W575" s="108" t="s">
        <v>4933</v>
      </c>
      <c r="X575" s="109">
        <v>1539</v>
      </c>
      <c r="Y575" s="109" t="s">
        <v>4584</v>
      </c>
      <c r="Z575" s="109" t="s">
        <v>156</v>
      </c>
      <c r="AA575" s="38" t="s">
        <v>125</v>
      </c>
      <c r="AB575" s="38" t="s">
        <v>689</v>
      </c>
      <c r="AC575" s="45"/>
      <c r="AD575" s="46"/>
      <c r="AE575" s="7"/>
      <c r="AF575" s="46"/>
      <c r="AG575" s="47"/>
      <c r="AH575" s="46"/>
      <c r="AI575" s="46"/>
    </row>
    <row r="576" spans="1:35" x14ac:dyDescent="0.25">
      <c r="A576" s="36">
        <v>569</v>
      </c>
      <c r="B576" s="117" t="s">
        <v>4934</v>
      </c>
      <c r="C576" s="38" t="s">
        <v>94</v>
      </c>
      <c r="D576" s="39">
        <v>36097</v>
      </c>
      <c r="E576" s="38" t="s">
        <v>40</v>
      </c>
      <c r="F576" s="40" t="s">
        <v>48</v>
      </c>
      <c r="G576" s="38" t="s">
        <v>4935</v>
      </c>
      <c r="H576" s="38" t="s">
        <v>72</v>
      </c>
      <c r="I576" s="38" t="s">
        <v>114</v>
      </c>
      <c r="J576" s="40" t="s">
        <v>4936</v>
      </c>
      <c r="K576" s="38"/>
      <c r="L576" s="40"/>
      <c r="M576" s="38" t="s">
        <v>99</v>
      </c>
      <c r="N576" s="40" t="s">
        <v>48</v>
      </c>
      <c r="O576" s="38"/>
      <c r="P576" s="40" t="s">
        <v>48</v>
      </c>
      <c r="Q576" s="40" t="s">
        <v>4937</v>
      </c>
      <c r="R576" s="105" t="s">
        <v>4938</v>
      </c>
      <c r="S576" s="38" t="s">
        <v>4935</v>
      </c>
      <c r="T576" s="38" t="s">
        <v>613</v>
      </c>
      <c r="U576" s="38" t="s">
        <v>4939</v>
      </c>
      <c r="V576" s="112">
        <v>44004</v>
      </c>
      <c r="W576" s="108" t="s">
        <v>4940</v>
      </c>
      <c r="X576" s="109">
        <v>1540</v>
      </c>
      <c r="Y576" s="109" t="s">
        <v>4584</v>
      </c>
      <c r="Z576" s="109" t="s">
        <v>396</v>
      </c>
      <c r="AA576" s="38" t="s">
        <v>1389</v>
      </c>
      <c r="AB576" s="38" t="s">
        <v>55</v>
      </c>
      <c r="AC576" s="45"/>
      <c r="AD576" s="46"/>
      <c r="AE576" s="7"/>
      <c r="AF576" s="46" t="str">
        <f>IF(R576="","",RIGHT(R576,LEN(R576)-FIND("@",R576)))</f>
        <v>gmail.com</v>
      </c>
      <c r="AG576" s="47">
        <f>LEN(R576)-LEN(SUBSTITUTE(R576," ",""))</f>
        <v>0</v>
      </c>
      <c r="AH576" s="46" t="str">
        <f>SUBSTITUTE(R576," ","")</f>
        <v>sutejakawinanga29@gmail.com</v>
      </c>
      <c r="AI576" s="46">
        <f>LEN(AH576)-LEN(SUBSTITUTE(AH576," ",""))</f>
        <v>0</v>
      </c>
    </row>
    <row r="577" spans="1:35" x14ac:dyDescent="0.25">
      <c r="A577" s="36">
        <v>570</v>
      </c>
      <c r="B577" s="117" t="s">
        <v>4941</v>
      </c>
      <c r="C577" s="38" t="s">
        <v>712</v>
      </c>
      <c r="D577" s="39">
        <v>37465</v>
      </c>
      <c r="E577" s="38" t="s">
        <v>95</v>
      </c>
      <c r="F577" s="40" t="s">
        <v>48</v>
      </c>
      <c r="G577" s="38" t="s">
        <v>4942</v>
      </c>
      <c r="H577" s="38" t="s">
        <v>72</v>
      </c>
      <c r="I577" s="38" t="s">
        <v>114</v>
      </c>
      <c r="J577" s="40" t="s">
        <v>4943</v>
      </c>
      <c r="K577" s="38"/>
      <c r="L577" s="40"/>
      <c r="M577" s="38" t="s">
        <v>99</v>
      </c>
      <c r="N577" s="40" t="s">
        <v>48</v>
      </c>
      <c r="O577" s="38"/>
      <c r="P577" s="40" t="s">
        <v>48</v>
      </c>
      <c r="Q577" s="40" t="s">
        <v>4944</v>
      </c>
      <c r="R577" s="50" t="s">
        <v>4945</v>
      </c>
      <c r="S577" s="38" t="s">
        <v>4942</v>
      </c>
      <c r="T577" s="38" t="s">
        <v>613</v>
      </c>
      <c r="U577" s="38" t="s">
        <v>4946</v>
      </c>
      <c r="V577" s="112">
        <v>44007</v>
      </c>
      <c r="W577" s="108" t="s">
        <v>4947</v>
      </c>
      <c r="X577" s="109">
        <v>1541</v>
      </c>
      <c r="Y577" s="109" t="s">
        <v>4584</v>
      </c>
      <c r="Z577" s="109" t="s">
        <v>172</v>
      </c>
      <c r="AA577" s="38" t="s">
        <v>125</v>
      </c>
      <c r="AB577" s="38" t="s">
        <v>641</v>
      </c>
      <c r="AC577" s="45"/>
      <c r="AD577" s="46"/>
      <c r="AE577" s="7"/>
      <c r="AF577" s="46" t="str">
        <f>IF(R577="","",RIGHT(R577,LEN(R577)-FIND("@",R577)))</f>
        <v>gmail.com</v>
      </c>
      <c r="AG577" s="47">
        <f>LEN(R577)-LEN(SUBSTITUTE(R577," ",""))</f>
        <v>0</v>
      </c>
      <c r="AH577" s="46" t="str">
        <f>SUBSTITUTE(R577," ","")</f>
        <v>ratnasejiwani@gmail.com</v>
      </c>
      <c r="AI577" s="46">
        <f>LEN(AH577)-LEN(SUBSTITUTE(AH577," ",""))</f>
        <v>0</v>
      </c>
    </row>
    <row r="578" spans="1:35" x14ac:dyDescent="0.25">
      <c r="A578" s="36">
        <v>571</v>
      </c>
      <c r="B578" s="117" t="s">
        <v>4948</v>
      </c>
      <c r="C578" s="38" t="s">
        <v>4949</v>
      </c>
      <c r="D578" s="39">
        <v>35692</v>
      </c>
      <c r="E578" s="38" t="s">
        <v>95</v>
      </c>
      <c r="F578" s="40" t="s">
        <v>48</v>
      </c>
      <c r="G578" s="38" t="s">
        <v>4950</v>
      </c>
      <c r="H578" s="38" t="s">
        <v>72</v>
      </c>
      <c r="I578" s="38" t="s">
        <v>114</v>
      </c>
      <c r="J578" s="40" t="s">
        <v>4951</v>
      </c>
      <c r="K578" s="38"/>
      <c r="L578" s="40"/>
      <c r="M578" s="38" t="s">
        <v>99</v>
      </c>
      <c r="N578" s="40" t="s">
        <v>48</v>
      </c>
      <c r="O578" s="38"/>
      <c r="P578" s="40" t="s">
        <v>48</v>
      </c>
      <c r="Q578" s="40" t="s">
        <v>4952</v>
      </c>
      <c r="R578" s="50" t="s">
        <v>4953</v>
      </c>
      <c r="S578" s="38" t="s">
        <v>4950</v>
      </c>
      <c r="T578" s="38" t="s">
        <v>65</v>
      </c>
      <c r="U578" s="38" t="s">
        <v>4954</v>
      </c>
      <c r="V578" s="112">
        <v>44007</v>
      </c>
      <c r="W578" s="108" t="s">
        <v>4955</v>
      </c>
      <c r="X578" s="109">
        <v>1542</v>
      </c>
      <c r="Y578" s="109" t="s">
        <v>4584</v>
      </c>
      <c r="Z578" s="109" t="s">
        <v>172</v>
      </c>
      <c r="AA578" s="38" t="s">
        <v>125</v>
      </c>
      <c r="AB578" s="38" t="s">
        <v>641</v>
      </c>
      <c r="AC578" s="45"/>
      <c r="AD578" s="46"/>
      <c r="AE578" s="7"/>
      <c r="AF578" s="46" t="str">
        <f>IF(R578="","",RIGHT(R578,LEN(R578)-FIND("@",R578)))</f>
        <v>gmail.com</v>
      </c>
      <c r="AG578" s="47">
        <f>LEN(R578)-LEN(SUBSTITUTE(R578," ",""))</f>
        <v>0</v>
      </c>
      <c r="AH578" s="46" t="str">
        <f>SUBSTITUTE(R578," ","")</f>
        <v>sintawidiasih715@gmail.com</v>
      </c>
      <c r="AI578" s="46">
        <f>LEN(AH578)-LEN(SUBSTITUTE(AH578," ",""))</f>
        <v>0</v>
      </c>
    </row>
    <row r="579" spans="1:35" x14ac:dyDescent="0.25">
      <c r="A579" s="36">
        <v>572</v>
      </c>
      <c r="B579" s="119" t="s">
        <v>4956</v>
      </c>
      <c r="C579" s="38" t="s">
        <v>548</v>
      </c>
      <c r="D579" s="39">
        <v>37378</v>
      </c>
      <c r="E579" s="38" t="s">
        <v>95</v>
      </c>
      <c r="F579" s="40" t="s">
        <v>48</v>
      </c>
      <c r="G579" s="38" t="s">
        <v>4957</v>
      </c>
      <c r="H579" s="38" t="s">
        <v>113</v>
      </c>
      <c r="I579" s="38" t="s">
        <v>114</v>
      </c>
      <c r="J579" s="40" t="s">
        <v>4958</v>
      </c>
      <c r="K579" s="38"/>
      <c r="L579" s="40"/>
      <c r="M579" s="38" t="s">
        <v>99</v>
      </c>
      <c r="N579" s="40" t="s">
        <v>48</v>
      </c>
      <c r="O579" s="38"/>
      <c r="P579" s="40" t="s">
        <v>48</v>
      </c>
      <c r="Q579" s="40" t="s">
        <v>4959</v>
      </c>
      <c r="R579" s="74" t="s">
        <v>4960</v>
      </c>
      <c r="S579" s="38" t="s">
        <v>4961</v>
      </c>
      <c r="T579" s="38" t="s">
        <v>613</v>
      </c>
      <c r="U579" s="40" t="s">
        <v>4962</v>
      </c>
      <c r="V579" s="112">
        <v>44007</v>
      </c>
      <c r="W579" s="108" t="s">
        <v>4963</v>
      </c>
      <c r="X579" s="109">
        <v>1543</v>
      </c>
      <c r="Y579" s="109" t="s">
        <v>4584</v>
      </c>
      <c r="Z579" s="109" t="s">
        <v>172</v>
      </c>
      <c r="AA579" s="38" t="s">
        <v>125</v>
      </c>
      <c r="AB579" s="38" t="s">
        <v>246</v>
      </c>
      <c r="AC579" s="45"/>
      <c r="AD579" s="46"/>
      <c r="AE579" s="7"/>
      <c r="AF579" s="46" t="str">
        <f>IF(R579="","",RIGHT(R579,LEN(R579)-FIND("@",R579)))</f>
        <v>gmail.com</v>
      </c>
      <c r="AG579" s="47">
        <f>LEN(R579)-LEN(SUBSTITUTE(R579," ",""))</f>
        <v>0</v>
      </c>
      <c r="AH579" s="46" t="str">
        <f>SUBSTITUTE(R579," ","")</f>
        <v>mitawulandari0022@gmail.com</v>
      </c>
      <c r="AI579" s="46">
        <f>LEN(AH579)-LEN(SUBSTITUTE(AH579," ",""))</f>
        <v>0</v>
      </c>
    </row>
    <row r="580" spans="1:35" x14ac:dyDescent="0.25">
      <c r="A580" s="120">
        <v>573</v>
      </c>
      <c r="B580" s="121" t="s">
        <v>4964</v>
      </c>
      <c r="C580" s="122" t="s">
        <v>94</v>
      </c>
      <c r="D580" s="123">
        <v>34943</v>
      </c>
      <c r="E580" s="122" t="s">
        <v>95</v>
      </c>
      <c r="F580" s="124" t="s">
        <v>48</v>
      </c>
      <c r="G580" s="122" t="s">
        <v>4965</v>
      </c>
      <c r="H580" s="122" t="s">
        <v>113</v>
      </c>
      <c r="I580" s="122" t="s">
        <v>114</v>
      </c>
      <c r="J580" s="124" t="s">
        <v>4966</v>
      </c>
      <c r="K580" s="124" t="s">
        <v>4967</v>
      </c>
      <c r="L580" s="124"/>
      <c r="M580" s="122" t="s">
        <v>99</v>
      </c>
      <c r="N580" s="124" t="s">
        <v>48</v>
      </c>
      <c r="O580" s="122"/>
      <c r="P580" s="124" t="s">
        <v>48</v>
      </c>
      <c r="Q580" s="124" t="s">
        <v>4968</v>
      </c>
      <c r="R580" s="105" t="s">
        <v>4969</v>
      </c>
      <c r="S580" s="122" t="s">
        <v>4970</v>
      </c>
      <c r="T580" s="122" t="s">
        <v>613</v>
      </c>
      <c r="U580" s="124" t="s">
        <v>4971</v>
      </c>
      <c r="V580" s="125">
        <v>44007</v>
      </c>
      <c r="W580" s="126" t="s">
        <v>4972</v>
      </c>
      <c r="X580" s="127">
        <v>1544</v>
      </c>
      <c r="Y580" s="127" t="s">
        <v>4584</v>
      </c>
      <c r="Z580" s="127" t="s">
        <v>172</v>
      </c>
      <c r="AA580" s="38" t="s">
        <v>125</v>
      </c>
      <c r="AB580" s="122" t="s">
        <v>282</v>
      </c>
      <c r="AC580" s="128"/>
      <c r="AD580" s="46"/>
      <c r="AE580" s="7"/>
      <c r="AF580" s="46"/>
      <c r="AG580" s="47"/>
      <c r="AH580" s="46"/>
      <c r="AI580" s="46"/>
    </row>
    <row r="581" spans="1:35" x14ac:dyDescent="0.25">
      <c r="A581" s="36">
        <v>574</v>
      </c>
      <c r="B581" s="129" t="s">
        <v>4973</v>
      </c>
      <c r="C581" s="60" t="s">
        <v>4974</v>
      </c>
      <c r="D581" s="60">
        <v>35514</v>
      </c>
      <c r="E581" s="60" t="s">
        <v>95</v>
      </c>
      <c r="F581" s="130" t="s">
        <v>48</v>
      </c>
      <c r="G581" s="60" t="s">
        <v>4975</v>
      </c>
      <c r="H581" s="60" t="s">
        <v>72</v>
      </c>
      <c r="I581" s="60" t="s">
        <v>114</v>
      </c>
      <c r="J581" s="130" t="s">
        <v>4976</v>
      </c>
      <c r="K581" s="130" t="s">
        <v>4977</v>
      </c>
      <c r="L581" s="130"/>
      <c r="M581" s="60" t="s">
        <v>99</v>
      </c>
      <c r="N581" s="130" t="s">
        <v>48</v>
      </c>
      <c r="O581" s="60"/>
      <c r="P581" s="130" t="s">
        <v>48</v>
      </c>
      <c r="Q581" s="130" t="s">
        <v>4978</v>
      </c>
      <c r="R581" s="50" t="s">
        <v>4979</v>
      </c>
      <c r="S581" s="60" t="s">
        <v>4980</v>
      </c>
      <c r="T581" s="60" t="s">
        <v>65</v>
      </c>
      <c r="U581" s="60" t="s">
        <v>4981</v>
      </c>
      <c r="V581" s="107">
        <v>44008</v>
      </c>
      <c r="W581" s="108" t="s">
        <v>4982</v>
      </c>
      <c r="X581" s="109">
        <v>1545</v>
      </c>
      <c r="Y581" s="109" t="s">
        <v>4584</v>
      </c>
      <c r="Z581" s="109" t="s">
        <v>172</v>
      </c>
      <c r="AA581" s="38" t="s">
        <v>125</v>
      </c>
      <c r="AB581" s="60" t="s">
        <v>140</v>
      </c>
      <c r="AC581" s="129"/>
      <c r="AD581" s="106"/>
      <c r="AE581" s="7"/>
      <c r="AF581" s="46" t="str">
        <f>IF(R581="","",RIGHT(R581,LEN(R581)-FIND("@",R581)))</f>
        <v>gmail.com</v>
      </c>
      <c r="AG581" s="47">
        <f>LEN(R581)-LEN(SUBSTITUTE(R581," ",""))</f>
        <v>0</v>
      </c>
      <c r="AH581" s="46" t="str">
        <f>SUBSTITUTE(R581," ","")</f>
        <v>eliid444@gmail.com</v>
      </c>
      <c r="AI581" s="46">
        <f>LEN(AH581)-LEN(SUBSTITUTE(AH581," ",""))</f>
        <v>0</v>
      </c>
    </row>
    <row r="582" spans="1:35" x14ac:dyDescent="0.25">
      <c r="A582" s="48">
        <v>575</v>
      </c>
      <c r="B582" s="131" t="s">
        <v>4983</v>
      </c>
      <c r="C582" s="132" t="s">
        <v>94</v>
      </c>
      <c r="D582" s="133">
        <v>35908</v>
      </c>
      <c r="E582" s="132" t="s">
        <v>40</v>
      </c>
      <c r="F582" s="134" t="s">
        <v>48</v>
      </c>
      <c r="G582" s="132" t="s">
        <v>4984</v>
      </c>
      <c r="H582" s="132" t="s">
        <v>72</v>
      </c>
      <c r="I582" s="132" t="s">
        <v>114</v>
      </c>
      <c r="J582" s="134" t="s">
        <v>4985</v>
      </c>
      <c r="K582" s="134" t="s">
        <v>4986</v>
      </c>
      <c r="L582" s="134"/>
      <c r="M582" s="132" t="s">
        <v>4987</v>
      </c>
      <c r="N582" s="134" t="s">
        <v>48</v>
      </c>
      <c r="O582" s="132"/>
      <c r="P582" s="134" t="s">
        <v>48</v>
      </c>
      <c r="Q582" s="134" t="s">
        <v>4988</v>
      </c>
      <c r="R582" s="135" t="s">
        <v>4989</v>
      </c>
      <c r="S582" s="132" t="s">
        <v>4984</v>
      </c>
      <c r="T582" s="132" t="s">
        <v>613</v>
      </c>
      <c r="U582" s="134" t="s">
        <v>4990</v>
      </c>
      <c r="V582" s="136">
        <v>44009</v>
      </c>
      <c r="W582" s="108" t="s">
        <v>4991</v>
      </c>
      <c r="X582" s="109">
        <v>1546</v>
      </c>
      <c r="Y582" s="137" t="s">
        <v>4584</v>
      </c>
      <c r="Z582" s="137" t="s">
        <v>156</v>
      </c>
      <c r="AA582" s="38" t="s">
        <v>125</v>
      </c>
      <c r="AB582" s="132" t="s">
        <v>1213</v>
      </c>
      <c r="AC582" s="138"/>
      <c r="AD582" s="46"/>
      <c r="AE582" s="7"/>
      <c r="AF582" s="46"/>
      <c r="AG582" s="47"/>
      <c r="AH582" s="46"/>
      <c r="AI582" s="46"/>
    </row>
    <row r="583" spans="1:35" x14ac:dyDescent="0.25">
      <c r="A583" s="36">
        <v>576</v>
      </c>
      <c r="B583" s="91" t="s">
        <v>4992</v>
      </c>
      <c r="C583" s="38" t="s">
        <v>328</v>
      </c>
      <c r="D583" s="39">
        <v>35321</v>
      </c>
      <c r="E583" s="38" t="s">
        <v>40</v>
      </c>
      <c r="F583" s="40" t="s">
        <v>48</v>
      </c>
      <c r="G583" s="38" t="s">
        <v>4993</v>
      </c>
      <c r="H583" s="38" t="s">
        <v>113</v>
      </c>
      <c r="I583" s="38" t="s">
        <v>114</v>
      </c>
      <c r="J583" s="40" t="s">
        <v>4994</v>
      </c>
      <c r="K583" s="40" t="s">
        <v>4995</v>
      </c>
      <c r="L583" s="40"/>
      <c r="M583" s="38" t="s">
        <v>116</v>
      </c>
      <c r="N583" s="40" t="s">
        <v>48</v>
      </c>
      <c r="O583" s="38"/>
      <c r="P583" s="40" t="s">
        <v>48</v>
      </c>
      <c r="Q583" s="40" t="s">
        <v>4996</v>
      </c>
      <c r="R583" s="139" t="s">
        <v>4997</v>
      </c>
      <c r="S583" s="38" t="s">
        <v>4998</v>
      </c>
      <c r="T583" s="38" t="s">
        <v>65</v>
      </c>
      <c r="U583" s="38" t="s">
        <v>4999</v>
      </c>
      <c r="V583" s="112">
        <v>44011</v>
      </c>
      <c r="W583" s="108" t="s">
        <v>5000</v>
      </c>
      <c r="X583" s="109">
        <v>1547</v>
      </c>
      <c r="Y583" s="109" t="s">
        <v>4584</v>
      </c>
      <c r="Z583" s="109" t="s">
        <v>156</v>
      </c>
      <c r="AA583" s="38" t="s">
        <v>125</v>
      </c>
      <c r="AB583" s="38" t="s">
        <v>193</v>
      </c>
      <c r="AC583" s="45"/>
      <c r="AD583" s="46"/>
      <c r="AE583" s="7"/>
      <c r="AF583" s="46"/>
      <c r="AG583" s="47"/>
      <c r="AH583" s="46"/>
      <c r="AI583" s="46"/>
    </row>
    <row r="584" spans="1:35" x14ac:dyDescent="0.25">
      <c r="A584" s="36">
        <v>578</v>
      </c>
      <c r="B584" s="37" t="s">
        <v>5001</v>
      </c>
      <c r="C584" s="38" t="s">
        <v>5002</v>
      </c>
      <c r="D584" s="39">
        <v>35043</v>
      </c>
      <c r="E584" s="38" t="s">
        <v>40</v>
      </c>
      <c r="F584" s="40" t="s">
        <v>48</v>
      </c>
      <c r="G584" s="38" t="s">
        <v>5003</v>
      </c>
      <c r="H584" s="38" t="s">
        <v>72</v>
      </c>
      <c r="I584" s="38" t="s">
        <v>114</v>
      </c>
      <c r="J584" s="39" t="s">
        <v>5004</v>
      </c>
      <c r="K584" s="40" t="s">
        <v>5005</v>
      </c>
      <c r="L584" s="40"/>
      <c r="M584" s="38" t="s">
        <v>99</v>
      </c>
      <c r="N584" s="40" t="s">
        <v>48</v>
      </c>
      <c r="O584" s="38"/>
      <c r="P584" s="40" t="s">
        <v>48</v>
      </c>
      <c r="Q584" s="40" t="s">
        <v>5006</v>
      </c>
      <c r="R584" s="140" t="s">
        <v>5007</v>
      </c>
      <c r="S584" s="38" t="s">
        <v>5008</v>
      </c>
      <c r="T584" s="38" t="s">
        <v>1185</v>
      </c>
      <c r="U584" s="38" t="s">
        <v>5009</v>
      </c>
      <c r="V584" s="112">
        <v>44018</v>
      </c>
      <c r="W584" s="108" t="s">
        <v>5010</v>
      </c>
      <c r="X584" s="109">
        <v>1549</v>
      </c>
      <c r="Y584" s="137" t="s">
        <v>4584</v>
      </c>
      <c r="Z584" s="109" t="s">
        <v>156</v>
      </c>
      <c r="AA584" s="38" t="s">
        <v>125</v>
      </c>
      <c r="AB584" s="38" t="s">
        <v>282</v>
      </c>
      <c r="AC584" s="45"/>
      <c r="AD584" s="46"/>
      <c r="AE584" s="46"/>
      <c r="AF584" s="46" t="str">
        <f>IF(R584="","",RIGHT(R584,LEN(R584)-FIND("@",R584)))</f>
        <v>gmail.com</v>
      </c>
      <c r="AG584" s="47">
        <f>LEN(R584)-LEN(SUBSTITUTE(R584," ",""))</f>
        <v>0</v>
      </c>
      <c r="AH584" s="46" t="str">
        <f>SUBSTITUTE(R584," ","")</f>
        <v>iputuokasuyasa@gmail.com</v>
      </c>
      <c r="AI584" s="46">
        <f>LEN(AH584)-LEN(SUBSTITUTE(AH584," ",""))</f>
        <v>0</v>
      </c>
    </row>
    <row r="585" spans="1:35" x14ac:dyDescent="0.25">
      <c r="A585" s="36">
        <v>579</v>
      </c>
      <c r="B585" s="37" t="s">
        <v>5011</v>
      </c>
      <c r="C585" s="38" t="s">
        <v>548</v>
      </c>
      <c r="D585" s="39">
        <v>34769</v>
      </c>
      <c r="E585" s="38" t="s">
        <v>95</v>
      </c>
      <c r="F585" s="40" t="s">
        <v>48</v>
      </c>
      <c r="G585" s="38" t="s">
        <v>5012</v>
      </c>
      <c r="H585" s="38" t="s">
        <v>72</v>
      </c>
      <c r="I585" s="38" t="s">
        <v>44</v>
      </c>
      <c r="J585" s="40" t="s">
        <v>5013</v>
      </c>
      <c r="K585" s="40" t="s">
        <v>5014</v>
      </c>
      <c r="L585" s="40"/>
      <c r="M585" s="38" t="s">
        <v>99</v>
      </c>
      <c r="N585" s="40" t="s">
        <v>48</v>
      </c>
      <c r="O585" s="38"/>
      <c r="P585" s="40" t="s">
        <v>48</v>
      </c>
      <c r="Q585" s="40" t="s">
        <v>5015</v>
      </c>
      <c r="R585" s="141" t="s">
        <v>5016</v>
      </c>
      <c r="S585" s="38" t="s">
        <v>5017</v>
      </c>
      <c r="T585" s="38" t="s">
        <v>613</v>
      </c>
      <c r="U585" s="38" t="s">
        <v>5018</v>
      </c>
      <c r="V585" s="112">
        <v>44021</v>
      </c>
      <c r="W585" s="108" t="s">
        <v>5019</v>
      </c>
      <c r="X585" s="109">
        <v>1550</v>
      </c>
      <c r="Y585" s="109" t="s">
        <v>4584</v>
      </c>
      <c r="Z585" s="109" t="s">
        <v>172</v>
      </c>
      <c r="AA585" s="38" t="s">
        <v>125</v>
      </c>
      <c r="AB585" s="38" t="s">
        <v>173</v>
      </c>
      <c r="AC585" s="45"/>
      <c r="AD585" s="46"/>
      <c r="AE585" s="46"/>
      <c r="AF585" s="46" t="str">
        <f>IF(R585="","",RIGHT(R585,LEN(R585)-FIND("@",R585)))</f>
        <v>gmail.com</v>
      </c>
      <c r="AG585" s="47">
        <f>LEN(R585)-LEN(SUBSTITUTE(R585," ",""))</f>
        <v>0</v>
      </c>
      <c r="AH585" s="46" t="str">
        <f>SUBSTITUTE(R585," ","")</f>
        <v>avietamaharani11@gmail.com</v>
      </c>
      <c r="AI585" s="46">
        <f>LEN(AH585)-LEN(SUBSTITUTE(AH585," ",""))</f>
        <v>0</v>
      </c>
    </row>
    <row r="586" spans="1:35" x14ac:dyDescent="0.25">
      <c r="A586" s="38">
        <v>580</v>
      </c>
      <c r="B586" s="37" t="s">
        <v>5020</v>
      </c>
      <c r="C586" s="38" t="s">
        <v>1520</v>
      </c>
      <c r="D586" s="39">
        <v>36507</v>
      </c>
      <c r="E586" s="38" t="s">
        <v>40</v>
      </c>
      <c r="F586" s="40" t="s">
        <v>48</v>
      </c>
      <c r="G586" s="38" t="s">
        <v>1521</v>
      </c>
      <c r="H586" s="38" t="s">
        <v>72</v>
      </c>
      <c r="I586" s="38" t="s">
        <v>114</v>
      </c>
      <c r="J586" s="40" t="s">
        <v>5021</v>
      </c>
      <c r="K586" s="38"/>
      <c r="L586" s="40"/>
      <c r="M586" s="38" t="s">
        <v>99</v>
      </c>
      <c r="N586" s="40" t="s">
        <v>48</v>
      </c>
      <c r="O586" s="38"/>
      <c r="P586" s="40" t="s">
        <v>48</v>
      </c>
      <c r="Q586" s="40" t="s">
        <v>5022</v>
      </c>
      <c r="R586" s="139" t="s">
        <v>5023</v>
      </c>
      <c r="S586" s="38" t="s">
        <v>5024</v>
      </c>
      <c r="T586" s="38" t="s">
        <v>613</v>
      </c>
      <c r="U586" s="38" t="s">
        <v>5025</v>
      </c>
      <c r="V586" s="112">
        <v>44022</v>
      </c>
      <c r="W586" s="108" t="s">
        <v>5026</v>
      </c>
      <c r="X586" s="109">
        <v>1551</v>
      </c>
      <c r="Y586" s="109" t="s">
        <v>4584</v>
      </c>
      <c r="Z586" s="109" t="s">
        <v>156</v>
      </c>
      <c r="AA586" s="38" t="s">
        <v>125</v>
      </c>
      <c r="AB586" s="38" t="s">
        <v>931</v>
      </c>
      <c r="AC586" s="45"/>
      <c r="AD586" s="46"/>
      <c r="AE586" s="46"/>
      <c r="AF586" s="46" t="str">
        <f>IF(R586="","",RIGHT(R586,LEN(R586)-FIND("@",R586)))</f>
        <v>gmail.com</v>
      </c>
      <c r="AG586" s="47">
        <f>LEN(R586)-LEN(SUBSTITUTE(R586," ",""))</f>
        <v>0</v>
      </c>
      <c r="AH586" s="46" t="str">
        <f>SUBSTITUTE(R586," ","")</f>
        <v>pdharma981@gmail.com</v>
      </c>
      <c r="AI586" s="46">
        <f>LEN(AH586)-LEN(SUBSTITUTE(AH586," ",""))</f>
        <v>0</v>
      </c>
    </row>
    <row r="587" spans="1:35" x14ac:dyDescent="0.25">
      <c r="A587" s="36">
        <v>581</v>
      </c>
      <c r="B587" s="53" t="s">
        <v>5027</v>
      </c>
      <c r="C587" s="54" t="s">
        <v>3345</v>
      </c>
      <c r="D587" s="55">
        <v>35130</v>
      </c>
      <c r="E587" s="54" t="s">
        <v>40</v>
      </c>
      <c r="F587" s="69" t="s">
        <v>48</v>
      </c>
      <c r="G587" s="54" t="s">
        <v>5028</v>
      </c>
      <c r="H587" s="54" t="s">
        <v>72</v>
      </c>
      <c r="I587" s="54" t="s">
        <v>114</v>
      </c>
      <c r="J587" s="69" t="s">
        <v>5029</v>
      </c>
      <c r="K587" s="69" t="s">
        <v>5030</v>
      </c>
      <c r="L587" s="69"/>
      <c r="M587" s="54" t="s">
        <v>99</v>
      </c>
      <c r="N587" s="69" t="s">
        <v>48</v>
      </c>
      <c r="O587" s="54"/>
      <c r="P587" s="69" t="s">
        <v>48</v>
      </c>
      <c r="Q587" s="69" t="s">
        <v>5031</v>
      </c>
      <c r="R587" s="142" t="s">
        <v>5032</v>
      </c>
      <c r="S587" s="54" t="s">
        <v>5033</v>
      </c>
      <c r="T587" s="54" t="s">
        <v>613</v>
      </c>
      <c r="U587" s="54" t="s">
        <v>5034</v>
      </c>
      <c r="V587" s="114">
        <v>44025</v>
      </c>
      <c r="W587" s="115" t="s">
        <v>5035</v>
      </c>
      <c r="X587" s="116">
        <v>1552</v>
      </c>
      <c r="Y587" s="116" t="s">
        <v>85</v>
      </c>
      <c r="Z587" s="116" t="s">
        <v>296</v>
      </c>
      <c r="AA587" s="54" t="s">
        <v>213</v>
      </c>
      <c r="AB587" s="54" t="s">
        <v>214</v>
      </c>
      <c r="AC587" s="58">
        <v>44040</v>
      </c>
      <c r="AD587" s="46"/>
      <c r="AE587" s="46"/>
      <c r="AF587" s="46" t="str">
        <f>IF(R587="","",RIGHT(R587,LEN(R587)-FIND("@",R587)))</f>
        <v>gmail.com</v>
      </c>
      <c r="AG587" s="47">
        <f>LEN(R587)-LEN(SUBSTITUTE(R587," ",""))</f>
        <v>0</v>
      </c>
      <c r="AH587" s="46" t="str">
        <f>SUBSTITUTE(R587," ","")</f>
        <v>ebayu26@gmail.com</v>
      </c>
      <c r="AI587" s="46">
        <f>LEN(AH587)-LEN(SUBSTITUTE(AH587," ",""))</f>
        <v>0</v>
      </c>
    </row>
    <row r="588" spans="1:35" x14ac:dyDescent="0.25">
      <c r="A588" s="36">
        <v>582</v>
      </c>
      <c r="B588" s="117" t="s">
        <v>5036</v>
      </c>
      <c r="C588" s="38" t="s">
        <v>94</v>
      </c>
      <c r="D588" s="39">
        <v>35242</v>
      </c>
      <c r="E588" s="38" t="s">
        <v>40</v>
      </c>
      <c r="F588" s="40" t="s">
        <v>48</v>
      </c>
      <c r="G588" s="38" t="s">
        <v>5037</v>
      </c>
      <c r="H588" s="38" t="s">
        <v>113</v>
      </c>
      <c r="I588" s="38" t="s">
        <v>114</v>
      </c>
      <c r="J588" s="40" t="s">
        <v>5038</v>
      </c>
      <c r="K588" s="38"/>
      <c r="L588" s="40"/>
      <c r="M588" s="38" t="s">
        <v>99</v>
      </c>
      <c r="N588" s="40" t="s">
        <v>48</v>
      </c>
      <c r="O588" s="38"/>
      <c r="P588" s="40" t="s">
        <v>48</v>
      </c>
      <c r="Q588" s="143" t="s">
        <v>5039</v>
      </c>
      <c r="R588" s="139" t="s">
        <v>5040</v>
      </c>
      <c r="S588" s="38" t="s">
        <v>5041</v>
      </c>
      <c r="T588" s="38" t="s">
        <v>65</v>
      </c>
      <c r="U588" s="41" t="s">
        <v>5042</v>
      </c>
      <c r="V588" s="112">
        <v>44035</v>
      </c>
      <c r="W588" s="108" t="s">
        <v>5043</v>
      </c>
      <c r="X588" s="109">
        <v>1553</v>
      </c>
      <c r="Y588" s="109" t="s">
        <v>4584</v>
      </c>
      <c r="Z588" s="109" t="s">
        <v>156</v>
      </c>
      <c r="AA588" s="38" t="s">
        <v>125</v>
      </c>
      <c r="AB588" s="38" t="s">
        <v>157</v>
      </c>
      <c r="AC588" s="38"/>
      <c r="AD588" s="4"/>
      <c r="AE588" s="4"/>
      <c r="AF588" s="4"/>
      <c r="AG588" s="144"/>
      <c r="AH588" s="4"/>
      <c r="AI588" s="4"/>
    </row>
    <row r="589" spans="1:35" x14ac:dyDescent="0.25">
      <c r="A589" s="36">
        <v>583</v>
      </c>
      <c r="B589" s="117" t="s">
        <v>5044</v>
      </c>
      <c r="C589" s="38" t="s">
        <v>94</v>
      </c>
      <c r="D589" s="39">
        <v>31249</v>
      </c>
      <c r="E589" s="38" t="s">
        <v>95</v>
      </c>
      <c r="F589" s="40" t="s">
        <v>48</v>
      </c>
      <c r="G589" s="38" t="s">
        <v>5045</v>
      </c>
      <c r="H589" s="38" t="s">
        <v>72</v>
      </c>
      <c r="I589" s="38" t="s">
        <v>44</v>
      </c>
      <c r="J589" s="40" t="s">
        <v>5046</v>
      </c>
      <c r="K589" s="40" t="s">
        <v>5047</v>
      </c>
      <c r="L589" s="38" t="s">
        <v>5048</v>
      </c>
      <c r="M589" s="38" t="s">
        <v>99</v>
      </c>
      <c r="N589" s="40" t="s">
        <v>48</v>
      </c>
      <c r="O589" s="38"/>
      <c r="P589" s="40" t="s">
        <v>48</v>
      </c>
      <c r="Q589" s="143" t="s">
        <v>5049</v>
      </c>
      <c r="R589" s="145" t="s">
        <v>5050</v>
      </c>
      <c r="S589" s="38" t="s">
        <v>5051</v>
      </c>
      <c r="T589" s="38" t="s">
        <v>1185</v>
      </c>
      <c r="U589" s="41" t="s">
        <v>5052</v>
      </c>
      <c r="V589" s="112">
        <v>44044</v>
      </c>
      <c r="W589" s="108" t="s">
        <v>5053</v>
      </c>
      <c r="X589" s="109">
        <v>1554</v>
      </c>
      <c r="Y589" s="109" t="s">
        <v>4584</v>
      </c>
      <c r="Z589" s="109" t="s">
        <v>396</v>
      </c>
      <c r="AA589" s="38" t="s">
        <v>109</v>
      </c>
      <c r="AB589" s="38" t="s">
        <v>55</v>
      </c>
      <c r="AC589" s="38"/>
      <c r="AD589" s="4"/>
      <c r="AE589" s="4"/>
      <c r="AF589" s="4"/>
      <c r="AG589" s="4"/>
      <c r="AH589" s="4"/>
      <c r="AI589" s="4"/>
    </row>
    <row r="590" spans="1:35" x14ac:dyDescent="0.25">
      <c r="A590" s="36">
        <v>584</v>
      </c>
      <c r="B590" s="117" t="s">
        <v>5054</v>
      </c>
      <c r="C590" s="38" t="s">
        <v>5055</v>
      </c>
      <c r="D590" s="39">
        <v>35227</v>
      </c>
      <c r="E590" s="38" t="s">
        <v>95</v>
      </c>
      <c r="F590" s="40" t="s">
        <v>48</v>
      </c>
      <c r="G590" s="38" t="s">
        <v>5056</v>
      </c>
      <c r="H590" s="38" t="s">
        <v>113</v>
      </c>
      <c r="I590" s="38" t="s">
        <v>114</v>
      </c>
      <c r="J590" s="40" t="s">
        <v>5057</v>
      </c>
      <c r="K590" s="40" t="s">
        <v>5058</v>
      </c>
      <c r="L590" s="40" t="s">
        <v>48</v>
      </c>
      <c r="M590" s="38" t="s">
        <v>99</v>
      </c>
      <c r="N590" s="40" t="s">
        <v>48</v>
      </c>
      <c r="O590" s="38"/>
      <c r="P590" s="40" t="s">
        <v>48</v>
      </c>
      <c r="Q590" s="143" t="s">
        <v>5059</v>
      </c>
      <c r="R590" s="146" t="s">
        <v>5060</v>
      </c>
      <c r="S590" s="38" t="s">
        <v>5061</v>
      </c>
      <c r="T590" s="38" t="s">
        <v>1185</v>
      </c>
      <c r="U590" s="43" t="s">
        <v>5062</v>
      </c>
      <c r="V590" s="112">
        <v>44046</v>
      </c>
      <c r="W590" s="108" t="s">
        <v>5063</v>
      </c>
      <c r="X590" s="109">
        <v>1555</v>
      </c>
      <c r="Y590" s="109" t="s">
        <v>4584</v>
      </c>
      <c r="Z590" s="109" t="s">
        <v>172</v>
      </c>
      <c r="AA590" s="38" t="s">
        <v>125</v>
      </c>
      <c r="AB590" s="38" t="s">
        <v>126</v>
      </c>
      <c r="AC590" s="38"/>
      <c r="AD590" s="4"/>
      <c r="AE590" s="4"/>
      <c r="AF590" s="4"/>
      <c r="AG590" s="4"/>
      <c r="AH590" s="4"/>
      <c r="AI590" s="4"/>
    </row>
    <row r="591" spans="1:35" x14ac:dyDescent="0.25">
      <c r="A591" s="36">
        <v>585</v>
      </c>
      <c r="B591" s="117" t="s">
        <v>5064</v>
      </c>
      <c r="C591" s="38" t="s">
        <v>94</v>
      </c>
      <c r="D591" s="39">
        <v>34290</v>
      </c>
      <c r="E591" s="38" t="s">
        <v>40</v>
      </c>
      <c r="F591" s="40" t="s">
        <v>48</v>
      </c>
      <c r="G591" s="38" t="s">
        <v>5065</v>
      </c>
      <c r="H591" s="38" t="s">
        <v>72</v>
      </c>
      <c r="I591" s="38" t="s">
        <v>44</v>
      </c>
      <c r="J591" s="40" t="s">
        <v>5066</v>
      </c>
      <c r="K591" s="38"/>
      <c r="L591" s="40" t="s">
        <v>48</v>
      </c>
      <c r="M591" s="38" t="s">
        <v>47</v>
      </c>
      <c r="N591" s="40" t="s">
        <v>48</v>
      </c>
      <c r="O591" s="38"/>
      <c r="P591" s="40" t="s">
        <v>48</v>
      </c>
      <c r="Q591" s="143" t="s">
        <v>5067</v>
      </c>
      <c r="R591" s="147" t="s">
        <v>5068</v>
      </c>
      <c r="S591" s="38" t="s">
        <v>5069</v>
      </c>
      <c r="T591" s="38" t="s">
        <v>613</v>
      </c>
      <c r="U591" s="43" t="s">
        <v>5070</v>
      </c>
      <c r="V591" s="112">
        <v>44047</v>
      </c>
      <c r="W591" s="108" t="s">
        <v>5071</v>
      </c>
      <c r="X591" s="109">
        <v>1556</v>
      </c>
      <c r="Y591" s="109" t="s">
        <v>4584</v>
      </c>
      <c r="Z591" s="109" t="s">
        <v>156</v>
      </c>
      <c r="AA591" s="38" t="s">
        <v>125</v>
      </c>
      <c r="AB591" s="38" t="s">
        <v>689</v>
      </c>
      <c r="AC591" s="38"/>
      <c r="AD591" s="4"/>
      <c r="AE591" s="4"/>
      <c r="AF591" s="4"/>
      <c r="AG591" s="4"/>
      <c r="AH591" s="4"/>
      <c r="AI591" s="4"/>
    </row>
    <row r="592" spans="1:35" x14ac:dyDescent="0.25">
      <c r="A592" s="36">
        <v>586</v>
      </c>
      <c r="B592" s="37" t="s">
        <v>5072</v>
      </c>
      <c r="C592" s="37" t="s">
        <v>5073</v>
      </c>
      <c r="D592" s="39">
        <v>36914</v>
      </c>
      <c r="E592" s="38" t="s">
        <v>40</v>
      </c>
      <c r="F592" s="40" t="s">
        <v>48</v>
      </c>
      <c r="G592" s="38" t="s">
        <v>5074</v>
      </c>
      <c r="H592" s="38" t="s">
        <v>113</v>
      </c>
      <c r="I592" s="38" t="s">
        <v>114</v>
      </c>
      <c r="J592" s="40" t="s">
        <v>5075</v>
      </c>
      <c r="K592" s="40" t="s">
        <v>5076</v>
      </c>
      <c r="L592" s="38"/>
      <c r="M592" s="38" t="s">
        <v>99</v>
      </c>
      <c r="N592" s="40" t="s">
        <v>48</v>
      </c>
      <c r="O592" s="38"/>
      <c r="P592" s="40" t="s">
        <v>48</v>
      </c>
      <c r="Q592" s="143" t="s">
        <v>5077</v>
      </c>
      <c r="R592" s="148" t="s">
        <v>5078</v>
      </c>
      <c r="S592" s="38" t="s">
        <v>5079</v>
      </c>
      <c r="T592" s="38" t="s">
        <v>613</v>
      </c>
      <c r="U592" s="41" t="s">
        <v>5080</v>
      </c>
      <c r="V592" s="112">
        <v>44048</v>
      </c>
      <c r="W592" s="108" t="s">
        <v>5081</v>
      </c>
      <c r="X592" s="109">
        <v>1557</v>
      </c>
      <c r="Y592" s="109" t="s">
        <v>4584</v>
      </c>
      <c r="Z592" s="109" t="s">
        <v>156</v>
      </c>
      <c r="AA592" s="45" t="s">
        <v>125</v>
      </c>
      <c r="AB592" s="38" t="s">
        <v>5082</v>
      </c>
      <c r="AC592" s="37"/>
      <c r="AD592" s="7"/>
      <c r="AE592" s="7"/>
      <c r="AF592" s="7"/>
      <c r="AG592" s="7"/>
      <c r="AH592" s="7"/>
      <c r="AI592" s="7"/>
    </row>
    <row r="593" spans="1:35" x14ac:dyDescent="0.25">
      <c r="A593" s="36">
        <v>587</v>
      </c>
      <c r="B593" s="37" t="s">
        <v>5083</v>
      </c>
      <c r="C593" s="38" t="s">
        <v>57</v>
      </c>
      <c r="D593" s="39">
        <v>36636</v>
      </c>
      <c r="E593" s="38" t="s">
        <v>40</v>
      </c>
      <c r="F593" s="40" t="s">
        <v>48</v>
      </c>
      <c r="G593" s="38" t="s">
        <v>5084</v>
      </c>
      <c r="H593" s="38" t="s">
        <v>113</v>
      </c>
      <c r="I593" s="38" t="s">
        <v>114</v>
      </c>
      <c r="J593" s="40" t="s">
        <v>5085</v>
      </c>
      <c r="K593" s="38"/>
      <c r="L593" s="40" t="s">
        <v>48</v>
      </c>
      <c r="M593" s="38" t="s">
        <v>99</v>
      </c>
      <c r="N593" s="40" t="s">
        <v>48</v>
      </c>
      <c r="O593" s="40" t="s">
        <v>74</v>
      </c>
      <c r="P593" s="40" t="s">
        <v>48</v>
      </c>
      <c r="Q593" s="40" t="s">
        <v>5086</v>
      </c>
      <c r="R593" s="146" t="s">
        <v>5087</v>
      </c>
      <c r="S593" s="38" t="s">
        <v>5084</v>
      </c>
      <c r="T593" s="38" t="s">
        <v>613</v>
      </c>
      <c r="U593" s="38" t="s">
        <v>5088</v>
      </c>
      <c r="V593" s="112">
        <v>44048</v>
      </c>
      <c r="W593" s="108" t="s">
        <v>5089</v>
      </c>
      <c r="X593" s="109">
        <v>1558</v>
      </c>
      <c r="Y593" s="109" t="s">
        <v>4584</v>
      </c>
      <c r="Z593" s="109" t="s">
        <v>156</v>
      </c>
      <c r="AA593" s="45" t="s">
        <v>125</v>
      </c>
      <c r="AB593" s="38" t="s">
        <v>5082</v>
      </c>
      <c r="AC593" s="45"/>
      <c r="AD593" s="7"/>
      <c r="AE593" s="7"/>
      <c r="AF593" s="7"/>
      <c r="AG593" s="7"/>
      <c r="AH593" s="7"/>
      <c r="AI593" s="7"/>
    </row>
    <row r="594" spans="1:35" x14ac:dyDescent="0.25">
      <c r="A594" s="36">
        <v>588</v>
      </c>
      <c r="B594" s="37" t="s">
        <v>5090</v>
      </c>
      <c r="C594" s="38" t="s">
        <v>57</v>
      </c>
      <c r="D594" s="39">
        <v>37362</v>
      </c>
      <c r="E594" s="38" t="s">
        <v>40</v>
      </c>
      <c r="F594" s="40" t="s">
        <v>48</v>
      </c>
      <c r="G594" s="38" t="s">
        <v>5091</v>
      </c>
      <c r="H594" s="38" t="s">
        <v>113</v>
      </c>
      <c r="I594" s="38" t="s">
        <v>114</v>
      </c>
      <c r="J594" s="40" t="s">
        <v>5092</v>
      </c>
      <c r="K594" s="38"/>
      <c r="L594" s="40" t="s">
        <v>48</v>
      </c>
      <c r="M594" s="38" t="s">
        <v>99</v>
      </c>
      <c r="N594" s="40" t="s">
        <v>48</v>
      </c>
      <c r="O594" s="38"/>
      <c r="P594" s="40" t="s">
        <v>48</v>
      </c>
      <c r="Q594" s="40" t="s">
        <v>5093</v>
      </c>
      <c r="R594" s="146" t="s">
        <v>5094</v>
      </c>
      <c r="S594" s="38" t="s">
        <v>5095</v>
      </c>
      <c r="T594" s="38" t="s">
        <v>65</v>
      </c>
      <c r="U594" s="38" t="s">
        <v>5096</v>
      </c>
      <c r="V594" s="112">
        <v>44048</v>
      </c>
      <c r="W594" s="108" t="s">
        <v>5097</v>
      </c>
      <c r="X594" s="109">
        <v>1559</v>
      </c>
      <c r="Y594" s="109" t="s">
        <v>4584</v>
      </c>
      <c r="Z594" s="109" t="s">
        <v>156</v>
      </c>
      <c r="AA594" s="45" t="s">
        <v>125</v>
      </c>
      <c r="AB594" s="38" t="s">
        <v>5082</v>
      </c>
      <c r="AC594" s="45"/>
      <c r="AD594" s="7"/>
      <c r="AE594" s="7"/>
      <c r="AF594" s="7"/>
      <c r="AG594" s="7"/>
      <c r="AH594" s="7"/>
      <c r="AI594" s="7"/>
    </row>
    <row r="595" spans="1:35" x14ac:dyDescent="0.25">
      <c r="A595" s="36">
        <v>589</v>
      </c>
      <c r="B595" s="37" t="s">
        <v>5098</v>
      </c>
      <c r="C595" s="38" t="s">
        <v>57</v>
      </c>
      <c r="D595" s="39">
        <v>36959</v>
      </c>
      <c r="E595" s="38" t="s">
        <v>95</v>
      </c>
      <c r="F595" s="40" t="s">
        <v>48</v>
      </c>
      <c r="G595" s="38" t="s">
        <v>5099</v>
      </c>
      <c r="H595" s="38" t="s">
        <v>113</v>
      </c>
      <c r="I595" s="38" t="s">
        <v>114</v>
      </c>
      <c r="J595" s="40" t="s">
        <v>5100</v>
      </c>
      <c r="K595" s="40" t="s">
        <v>5101</v>
      </c>
      <c r="L595" s="40" t="s">
        <v>48</v>
      </c>
      <c r="M595" s="38" t="s">
        <v>99</v>
      </c>
      <c r="N595" s="40" t="s">
        <v>48</v>
      </c>
      <c r="O595" s="38"/>
      <c r="P595" s="40" t="s">
        <v>48</v>
      </c>
      <c r="Q595" s="40" t="s">
        <v>5102</v>
      </c>
      <c r="R595" s="146" t="s">
        <v>5103</v>
      </c>
      <c r="S595" s="38" t="s">
        <v>5099</v>
      </c>
      <c r="T595" s="38" t="s">
        <v>613</v>
      </c>
      <c r="U595" s="40" t="s">
        <v>5104</v>
      </c>
      <c r="V595" s="112">
        <v>44048</v>
      </c>
      <c r="W595" s="108" t="s">
        <v>5105</v>
      </c>
      <c r="X595" s="109">
        <v>1560</v>
      </c>
      <c r="Y595" s="109" t="s">
        <v>4584</v>
      </c>
      <c r="Z595" s="109" t="s">
        <v>172</v>
      </c>
      <c r="AA595" s="45" t="s">
        <v>125</v>
      </c>
      <c r="AB595" s="38" t="s">
        <v>5082</v>
      </c>
      <c r="AC595" s="45"/>
      <c r="AD595" s="7"/>
      <c r="AE595" s="7"/>
      <c r="AF595" s="7"/>
      <c r="AG595" s="7"/>
      <c r="AH595" s="7"/>
      <c r="AI595" s="7"/>
    </row>
    <row r="596" spans="1:35" x14ac:dyDescent="0.25">
      <c r="A596" s="36">
        <v>590</v>
      </c>
      <c r="B596" s="37" t="s">
        <v>5106</v>
      </c>
      <c r="C596" s="38" t="s">
        <v>5107</v>
      </c>
      <c r="D596" s="39">
        <v>36145</v>
      </c>
      <c r="E596" s="38" t="s">
        <v>40</v>
      </c>
      <c r="F596" s="40" t="s">
        <v>48</v>
      </c>
      <c r="G596" s="38" t="s">
        <v>5108</v>
      </c>
      <c r="H596" s="38" t="s">
        <v>113</v>
      </c>
      <c r="I596" s="38" t="s">
        <v>114</v>
      </c>
      <c r="J596" s="40" t="s">
        <v>5109</v>
      </c>
      <c r="K596" s="38"/>
      <c r="L596" s="40" t="s">
        <v>48</v>
      </c>
      <c r="M596" s="38" t="s">
        <v>99</v>
      </c>
      <c r="N596" s="40" t="s">
        <v>48</v>
      </c>
      <c r="O596" s="38"/>
      <c r="P596" s="40" t="s">
        <v>48</v>
      </c>
      <c r="Q596" s="40" t="s">
        <v>5110</v>
      </c>
      <c r="R596" s="146" t="s">
        <v>5111</v>
      </c>
      <c r="S596" s="38" t="s">
        <v>5108</v>
      </c>
      <c r="T596" s="38" t="s">
        <v>65</v>
      </c>
      <c r="U596" s="38" t="s">
        <v>5112</v>
      </c>
      <c r="V596" s="112">
        <v>44048</v>
      </c>
      <c r="W596" s="108" t="s">
        <v>5113</v>
      </c>
      <c r="X596" s="109">
        <v>1561</v>
      </c>
      <c r="Y596" s="109" t="s">
        <v>4584</v>
      </c>
      <c r="Z596" s="109" t="s">
        <v>156</v>
      </c>
      <c r="AA596" s="45" t="s">
        <v>125</v>
      </c>
      <c r="AB596" s="38" t="s">
        <v>5082</v>
      </c>
      <c r="AC596" s="45"/>
      <c r="AD596" s="7"/>
      <c r="AE596" s="7"/>
      <c r="AF596" s="7"/>
      <c r="AG596" s="7"/>
      <c r="AH596" s="7"/>
      <c r="AI596" s="7"/>
    </row>
    <row r="597" spans="1:35" x14ac:dyDescent="0.25">
      <c r="A597" s="36">
        <v>591</v>
      </c>
      <c r="B597" s="37" t="s">
        <v>5114</v>
      </c>
      <c r="C597" s="38" t="s">
        <v>5115</v>
      </c>
      <c r="D597" s="39">
        <v>37298</v>
      </c>
      <c r="E597" s="38" t="s">
        <v>95</v>
      </c>
      <c r="F597" s="40" t="s">
        <v>48</v>
      </c>
      <c r="G597" s="38" t="s">
        <v>5116</v>
      </c>
      <c r="H597" s="38" t="s">
        <v>113</v>
      </c>
      <c r="I597" s="38" t="s">
        <v>114</v>
      </c>
      <c r="J597" s="40" t="s">
        <v>5117</v>
      </c>
      <c r="K597" s="40" t="s">
        <v>5118</v>
      </c>
      <c r="L597" s="40" t="s">
        <v>48</v>
      </c>
      <c r="M597" s="38" t="s">
        <v>99</v>
      </c>
      <c r="N597" s="40" t="s">
        <v>48</v>
      </c>
      <c r="O597" s="38"/>
      <c r="P597" s="40" t="s">
        <v>48</v>
      </c>
      <c r="Q597" s="40" t="s">
        <v>5119</v>
      </c>
      <c r="R597" s="146" t="s">
        <v>5120</v>
      </c>
      <c r="S597" s="38" t="s">
        <v>5121</v>
      </c>
      <c r="T597" s="38" t="s">
        <v>613</v>
      </c>
      <c r="U597" s="38" t="s">
        <v>5122</v>
      </c>
      <c r="V597" s="112">
        <v>44048</v>
      </c>
      <c r="W597" s="108" t="s">
        <v>5123</v>
      </c>
      <c r="X597" s="109">
        <v>1562</v>
      </c>
      <c r="Y597" s="109" t="s">
        <v>4584</v>
      </c>
      <c r="Z597" s="109" t="s">
        <v>172</v>
      </c>
      <c r="AA597" s="45" t="s">
        <v>125</v>
      </c>
      <c r="AB597" s="38" t="s">
        <v>5082</v>
      </c>
      <c r="AC597" s="45"/>
      <c r="AD597" s="7"/>
      <c r="AE597" s="7"/>
      <c r="AF597" s="7"/>
      <c r="AG597" s="7"/>
      <c r="AH597" s="7"/>
      <c r="AI597" s="7"/>
    </row>
    <row r="598" spans="1:35" x14ac:dyDescent="0.25">
      <c r="A598" s="36">
        <v>592</v>
      </c>
      <c r="B598" s="117" t="s">
        <v>5124</v>
      </c>
      <c r="C598" s="38" t="s">
        <v>2130</v>
      </c>
      <c r="D598" s="39">
        <v>35272</v>
      </c>
      <c r="E598" s="38" t="s">
        <v>40</v>
      </c>
      <c r="F598" s="40" t="s">
        <v>48</v>
      </c>
      <c r="G598" s="38" t="s">
        <v>5125</v>
      </c>
      <c r="H598" s="38" t="s">
        <v>113</v>
      </c>
      <c r="I598" s="38" t="s">
        <v>114</v>
      </c>
      <c r="J598" s="40" t="s">
        <v>5126</v>
      </c>
      <c r="K598" s="40" t="s">
        <v>5127</v>
      </c>
      <c r="L598" s="40" t="s">
        <v>48</v>
      </c>
      <c r="M598" s="38" t="s">
        <v>99</v>
      </c>
      <c r="N598" s="40" t="s">
        <v>48</v>
      </c>
      <c r="O598" s="38"/>
      <c r="P598" s="40" t="s">
        <v>48</v>
      </c>
      <c r="Q598" s="40" t="s">
        <v>5128</v>
      </c>
      <c r="R598" s="148" t="s">
        <v>5129</v>
      </c>
      <c r="S598" s="38" t="s">
        <v>5130</v>
      </c>
      <c r="T598" s="38" t="s">
        <v>5131</v>
      </c>
      <c r="U598" s="38" t="s">
        <v>5132</v>
      </c>
      <c r="V598" s="112">
        <v>44053</v>
      </c>
      <c r="W598" s="108" t="s">
        <v>5133</v>
      </c>
      <c r="X598" s="109">
        <v>1563</v>
      </c>
      <c r="Y598" s="109" t="s">
        <v>4584</v>
      </c>
      <c r="Z598" s="109" t="s">
        <v>5134</v>
      </c>
      <c r="AA598" s="38" t="s">
        <v>213</v>
      </c>
      <c r="AB598" s="38" t="s">
        <v>214</v>
      </c>
      <c r="AC598" s="45"/>
      <c r="AD598" s="7"/>
      <c r="AE598" s="7"/>
      <c r="AF598" s="7"/>
      <c r="AG598" s="7"/>
      <c r="AH598" s="7"/>
      <c r="AI598" s="7"/>
    </row>
    <row r="599" spans="1:35" x14ac:dyDescent="0.25">
      <c r="A599" s="36">
        <v>593</v>
      </c>
      <c r="B599" s="117" t="s">
        <v>5135</v>
      </c>
      <c r="C599" s="38" t="s">
        <v>94</v>
      </c>
      <c r="D599" s="39">
        <v>35807</v>
      </c>
      <c r="E599" s="38" t="s">
        <v>40</v>
      </c>
      <c r="F599" s="40" t="s">
        <v>48</v>
      </c>
      <c r="G599" s="38" t="s">
        <v>5136</v>
      </c>
      <c r="H599" s="38" t="s">
        <v>113</v>
      </c>
      <c r="I599" s="38" t="s">
        <v>114</v>
      </c>
      <c r="J599" s="40" t="s">
        <v>5137</v>
      </c>
      <c r="K599" s="38"/>
      <c r="L599" s="40" t="s">
        <v>48</v>
      </c>
      <c r="M599" s="38" t="s">
        <v>99</v>
      </c>
      <c r="N599" s="40" t="s">
        <v>48</v>
      </c>
      <c r="O599" s="38"/>
      <c r="P599" s="40" t="s">
        <v>48</v>
      </c>
      <c r="Q599" s="40" t="s">
        <v>5138</v>
      </c>
      <c r="R599" s="146" t="s">
        <v>5139</v>
      </c>
      <c r="S599" s="38" t="s">
        <v>5136</v>
      </c>
      <c r="T599" s="38" t="s">
        <v>613</v>
      </c>
      <c r="U599" s="38" t="s">
        <v>5140</v>
      </c>
      <c r="V599" s="112">
        <v>44053</v>
      </c>
      <c r="W599" s="108" t="s">
        <v>5141</v>
      </c>
      <c r="X599" s="109">
        <v>1564</v>
      </c>
      <c r="Y599" s="109" t="s">
        <v>4584</v>
      </c>
      <c r="Z599" s="109" t="s">
        <v>5134</v>
      </c>
      <c r="AA599" s="38" t="s">
        <v>213</v>
      </c>
      <c r="AB599" s="38" t="s">
        <v>214</v>
      </c>
      <c r="AC599" s="45"/>
      <c r="AD599" s="7"/>
      <c r="AE599" s="7"/>
      <c r="AF599" s="7"/>
      <c r="AG599" s="7"/>
      <c r="AH599" s="7"/>
      <c r="AI599" s="7"/>
    </row>
    <row r="600" spans="1:35" x14ac:dyDescent="0.25">
      <c r="A600" s="36">
        <v>594</v>
      </c>
      <c r="B600" s="117" t="s">
        <v>5142</v>
      </c>
      <c r="C600" s="38" t="s">
        <v>5143</v>
      </c>
      <c r="D600" s="149">
        <v>36172</v>
      </c>
      <c r="E600" s="38" t="s">
        <v>95</v>
      </c>
      <c r="F600" s="40" t="s">
        <v>48</v>
      </c>
      <c r="G600" s="38" t="s">
        <v>5144</v>
      </c>
      <c r="H600" s="38" t="s">
        <v>113</v>
      </c>
      <c r="I600" s="38" t="s">
        <v>114</v>
      </c>
      <c r="J600" s="40" t="s">
        <v>5145</v>
      </c>
      <c r="K600" s="40" t="s">
        <v>5146</v>
      </c>
      <c r="L600" s="40" t="s">
        <v>48</v>
      </c>
      <c r="M600" s="38" t="s">
        <v>99</v>
      </c>
      <c r="N600" s="40" t="s">
        <v>48</v>
      </c>
      <c r="O600" s="38"/>
      <c r="P600" s="40" t="s">
        <v>48</v>
      </c>
      <c r="Q600" s="40" t="s">
        <v>5147</v>
      </c>
      <c r="R600" s="146" t="s">
        <v>5148</v>
      </c>
      <c r="S600" s="38" t="s">
        <v>5149</v>
      </c>
      <c r="T600" s="38" t="s">
        <v>613</v>
      </c>
      <c r="U600" s="38" t="s">
        <v>5150</v>
      </c>
      <c r="V600" s="150">
        <v>44067</v>
      </c>
      <c r="W600" s="108" t="s">
        <v>5151</v>
      </c>
      <c r="X600" s="109">
        <v>1565</v>
      </c>
      <c r="Y600" s="109" t="s">
        <v>4584</v>
      </c>
      <c r="Z600" s="109" t="s">
        <v>172</v>
      </c>
      <c r="AA600" s="38" t="s">
        <v>125</v>
      </c>
      <c r="AB600" s="38" t="s">
        <v>994</v>
      </c>
      <c r="AC600" s="45"/>
      <c r="AD600" s="7"/>
      <c r="AE600" s="7"/>
      <c r="AF600" s="7"/>
      <c r="AG600" s="7"/>
      <c r="AH600" s="7"/>
      <c r="AI600" s="7"/>
    </row>
    <row r="601" spans="1:35" x14ac:dyDescent="0.25">
      <c r="A601" s="2"/>
      <c r="B601" s="7"/>
      <c r="C601" s="2"/>
      <c r="D601" s="7"/>
      <c r="E601" s="2"/>
      <c r="F601" s="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151"/>
      <c r="S601" s="4"/>
      <c r="T601" s="2"/>
      <c r="U601" s="2"/>
      <c r="V601" s="2"/>
      <c r="W601" s="5"/>
      <c r="X601" s="2"/>
      <c r="Y601" s="2"/>
      <c r="Z601" s="2"/>
      <c r="AA601" s="2" t="s">
        <v>1</v>
      </c>
      <c r="AB601" s="2"/>
      <c r="AC601" s="6"/>
      <c r="AD601" s="7"/>
      <c r="AE601" s="7"/>
      <c r="AF601" s="7"/>
      <c r="AG601" s="7"/>
      <c r="AH601" s="7"/>
      <c r="AI601" s="7"/>
    </row>
  </sheetData>
  <autoFilter ref="A7:AC601"/>
  <mergeCells count="8">
    <mergeCell ref="Q5:U5"/>
    <mergeCell ref="V5:AC5"/>
    <mergeCell ref="A1:F1"/>
    <mergeCell ref="A2:F2"/>
    <mergeCell ref="A3:F3"/>
    <mergeCell ref="A5:A6"/>
    <mergeCell ref="L5:M5"/>
    <mergeCell ref="N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5</dc:creator>
  <cp:lastModifiedBy>Office 5</cp:lastModifiedBy>
  <dcterms:created xsi:type="dcterms:W3CDTF">2020-08-25T07:58:41Z</dcterms:created>
  <dcterms:modified xsi:type="dcterms:W3CDTF">2020-08-25T08:09:03Z</dcterms:modified>
</cp:coreProperties>
</file>